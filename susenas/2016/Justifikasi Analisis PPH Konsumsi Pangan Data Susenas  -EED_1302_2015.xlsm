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10.113.2.10\ipds\SUSENAS\SUSENAS 2015\RAW\"/>
    </mc:Choice>
  </mc:AlternateContent>
  <bookViews>
    <workbookView xWindow="0" yWindow="0" windowWidth="20490" windowHeight="7155" tabRatio="766" firstSheet="6" activeTab="9"/>
  </bookViews>
  <sheets>
    <sheet name="COVER" sheetId="1" r:id="rId1"/>
    <sheet name="PETUNJUK" sheetId="14" r:id="rId2"/>
    <sheet name="BASELINE" sheetId="11" r:id="rId3"/>
    <sheet name="SUSENAS" sheetId="22" r:id="rId4"/>
    <sheet name="POLA KONSUMSI" sheetId="33" r:id="rId5"/>
    <sheet name="KECUKUPAN GIZI" sheetId="34" r:id="rId6"/>
    <sheet name="SKOR PPH" sheetId="23" r:id="rId7"/>
    <sheet name="SASARAN PPH" sheetId="26" r:id="rId8"/>
    <sheet name="PROYEKSI KONSUMSI" sheetId="24" r:id="rId9"/>
    <sheet name="KEBUTUHAN PANGAN" sheetId="32" r:id="rId10"/>
    <sheet name="FAKTOR KOREKSI" sheetId="31" state="hidden" r:id="rId11"/>
  </sheets>
  <definedNames>
    <definedName name="\0" localSheetId="9">#REF!</definedName>
    <definedName name="\0" localSheetId="5">#REF!</definedName>
    <definedName name="\0" localSheetId="4">#REF!</definedName>
    <definedName name="\0">#REF!</definedName>
    <definedName name="\p" localSheetId="9">#REF!</definedName>
    <definedName name="\p" localSheetId="5">#REF!</definedName>
    <definedName name="\p" localSheetId="4">#REF!</definedName>
    <definedName name="\p">#REF!</definedName>
    <definedName name="\s" localSheetId="9">#REF!</definedName>
    <definedName name="\s" localSheetId="5">#REF!</definedName>
    <definedName name="\s" localSheetId="4">#REF!</definedName>
    <definedName name="\s">#REF!</definedName>
    <definedName name="_xlnm._FilterDatabase" localSheetId="3" hidden="1">SUSENAS!$A$12:$AV$12</definedName>
    <definedName name="_xlnm.Print_Area" localSheetId="2">BASELINE!$B$4:$D$21</definedName>
    <definedName name="_xlnm.Print_Area" localSheetId="9">'KEBUTUHAN PANGAN'!$C$4:$T$63</definedName>
    <definedName name="_xlnm.Print_Area" localSheetId="5">'KECUKUPAN GIZI'!$B$4:$J$62</definedName>
    <definedName name="_xlnm.Print_Area" localSheetId="1">PETUNJUK!$C$4:$T$27</definedName>
    <definedName name="_xlnm.Print_Area" localSheetId="4">'POLA KONSUMSI'!$C$4:$O$58</definedName>
    <definedName name="_xlnm.Print_Area" localSheetId="8">'PROYEKSI KONSUMSI'!$C$4:$AD$57</definedName>
    <definedName name="_xlnm.Print_Area" localSheetId="7">'SASARAN PPH'!$B$4:$K$67</definedName>
    <definedName name="_xlnm.Print_Area" localSheetId="6">'SKOR PPH'!$B$4:$M$61</definedName>
    <definedName name="_xlnm.Print_Area" localSheetId="3">SUSENAS!$B$4:$Z$255</definedName>
    <definedName name="Print_Area_MI" localSheetId="9">#REF!</definedName>
    <definedName name="Print_Area_MI" localSheetId="5">#REF!</definedName>
    <definedName name="Print_Area_MI" localSheetId="4">#REF!</definedName>
    <definedName name="Print_Area_MI">#REF!</definedName>
    <definedName name="_xlnm.Print_Titles" localSheetId="9">'KEBUTUHAN PANGAN'!$B:$C,'KEBUTUHAN PANGAN'!$4:$11</definedName>
    <definedName name="_xlnm.Print_Titles" localSheetId="4">'POLA KONSUMSI'!$B:$C,'POLA KONSUMSI'!$4:$12</definedName>
    <definedName name="_xlnm.Print_Titles" localSheetId="8">'PROYEKSI KONSUMSI'!$B:$C,'PROYEKSI KONSUMSI'!$4:$11</definedName>
    <definedName name="_xlnm.Print_Titles" localSheetId="7">'SASARAN PPH'!$4:$7</definedName>
  </definedNames>
  <calcPr calcId="152511"/>
</workbook>
</file>

<file path=xl/calcChain.xml><?xml version="1.0" encoding="utf-8"?>
<calcChain xmlns="http://schemas.openxmlformats.org/spreadsheetml/2006/main">
  <c r="F44" i="26" l="1"/>
  <c r="E13" i="26"/>
  <c r="J190" i="22" l="1"/>
  <c r="K190" i="22"/>
  <c r="I190" i="22"/>
  <c r="Z189" i="22"/>
  <c r="Y189" i="22"/>
  <c r="X189" i="22"/>
  <c r="W189" i="22"/>
  <c r="V189" i="22"/>
  <c r="U189" i="22"/>
  <c r="T189" i="22"/>
  <c r="S189" i="22"/>
  <c r="R189" i="22"/>
  <c r="Q189" i="22"/>
  <c r="P189" i="22"/>
  <c r="O189" i="22"/>
  <c r="N189" i="22"/>
  <c r="M189" i="22"/>
  <c r="L189" i="22"/>
  <c r="G189" i="22"/>
  <c r="F189" i="22"/>
  <c r="L188" i="22"/>
  <c r="K65" i="22"/>
  <c r="J65" i="22"/>
  <c r="I65" i="22"/>
  <c r="K48" i="22"/>
  <c r="J48" i="22"/>
  <c r="I48" i="22"/>
  <c r="L13" i="22"/>
  <c r="M13" i="22"/>
  <c r="N13" i="22"/>
  <c r="O13" i="22"/>
  <c r="P13" i="22"/>
  <c r="Q13" i="22"/>
  <c r="R13" i="22"/>
  <c r="S13" i="22"/>
  <c r="T13" i="22"/>
  <c r="U13" i="22"/>
  <c r="V13" i="22"/>
  <c r="W13" i="22"/>
  <c r="X13" i="22"/>
  <c r="Y13" i="22"/>
  <c r="Z13" i="22"/>
  <c r="L14" i="22"/>
  <c r="M14" i="22"/>
  <c r="N14" i="22"/>
  <c r="O14" i="22"/>
  <c r="P14" i="22"/>
  <c r="Q14" i="22"/>
  <c r="R14" i="22"/>
  <c r="S14" i="22"/>
  <c r="T14" i="22"/>
  <c r="U14" i="22"/>
  <c r="V14" i="22"/>
  <c r="W14" i="22"/>
  <c r="X14" i="22"/>
  <c r="Y14" i="22"/>
  <c r="Z14" i="22"/>
  <c r="L15" i="22"/>
  <c r="M15" i="22"/>
  <c r="N15" i="22"/>
  <c r="O15" i="22"/>
  <c r="P15" i="22"/>
  <c r="Q15" i="22"/>
  <c r="R15" i="22"/>
  <c r="S15" i="22"/>
  <c r="T15" i="22"/>
  <c r="U15" i="22"/>
  <c r="V15" i="22"/>
  <c r="W15" i="22"/>
  <c r="X15" i="22"/>
  <c r="Y15" i="22"/>
  <c r="Z15" i="22"/>
  <c r="L16" i="22"/>
  <c r="M16" i="22"/>
  <c r="N16" i="22"/>
  <c r="O16" i="22"/>
  <c r="P16" i="22"/>
  <c r="Q16" i="22"/>
  <c r="R16" i="22"/>
  <c r="S16" i="22"/>
  <c r="T16" i="22"/>
  <c r="U16" i="22"/>
  <c r="V16" i="22"/>
  <c r="W16" i="22"/>
  <c r="X16" i="22"/>
  <c r="Y16" i="22"/>
  <c r="Z16" i="22"/>
  <c r="B20" i="11" l="1"/>
  <c r="Z255" i="22" l="1"/>
  <c r="Y255" i="22"/>
  <c r="X255" i="22"/>
  <c r="W255" i="22"/>
  <c r="V255" i="22"/>
  <c r="Z254" i="22"/>
  <c r="Y254" i="22"/>
  <c r="X254" i="22"/>
  <c r="W254" i="22"/>
  <c r="V254" i="22"/>
  <c r="Z253" i="22"/>
  <c r="Y253" i="22"/>
  <c r="X253" i="22"/>
  <c r="W253" i="22"/>
  <c r="V253" i="22"/>
  <c r="Z250" i="22"/>
  <c r="Y250" i="22"/>
  <c r="X250" i="22"/>
  <c r="W250" i="22"/>
  <c r="V250" i="22"/>
  <c r="Z249" i="22"/>
  <c r="Y249" i="22"/>
  <c r="X249" i="22"/>
  <c r="W249" i="22"/>
  <c r="V249" i="22"/>
  <c r="Z248" i="22"/>
  <c r="Y248" i="22"/>
  <c r="X248" i="22"/>
  <c r="W248" i="22"/>
  <c r="Z247" i="22"/>
  <c r="Y247" i="22"/>
  <c r="X247" i="22"/>
  <c r="W247" i="22"/>
  <c r="V247" i="22"/>
  <c r="Z246" i="22"/>
  <c r="Y246" i="22"/>
  <c r="X246" i="22"/>
  <c r="W246" i="22"/>
  <c r="V246" i="22"/>
  <c r="Z245" i="22"/>
  <c r="Y245" i="22"/>
  <c r="X245" i="22"/>
  <c r="W245" i="22"/>
  <c r="V245" i="22"/>
  <c r="Z244" i="22"/>
  <c r="Y244" i="22"/>
  <c r="X244" i="22"/>
  <c r="W244" i="22"/>
  <c r="Z243" i="22"/>
  <c r="Y243" i="22"/>
  <c r="X243" i="22"/>
  <c r="W243" i="22"/>
  <c r="V243" i="22"/>
  <c r="Z242" i="22"/>
  <c r="Y242" i="22"/>
  <c r="X242" i="22"/>
  <c r="W242" i="22"/>
  <c r="V242" i="22"/>
  <c r="Z241" i="22"/>
  <c r="Y241" i="22"/>
  <c r="X241" i="22"/>
  <c r="W241" i="22"/>
  <c r="V241" i="22"/>
  <c r="Z240" i="22"/>
  <c r="Y240" i="22"/>
  <c r="X240" i="22"/>
  <c r="W240" i="22"/>
  <c r="V240" i="22"/>
  <c r="Z239" i="22"/>
  <c r="Y239" i="22"/>
  <c r="X239" i="22"/>
  <c r="W239" i="22"/>
  <c r="V239" i="22"/>
  <c r="Z238" i="22"/>
  <c r="Y238" i="22"/>
  <c r="X238" i="22"/>
  <c r="W238" i="22"/>
  <c r="V238" i="22"/>
  <c r="Z237" i="22"/>
  <c r="Y237" i="22"/>
  <c r="X237" i="22"/>
  <c r="W237" i="22"/>
  <c r="V237" i="22"/>
  <c r="Z236" i="22"/>
  <c r="Y236" i="22"/>
  <c r="X236" i="22"/>
  <c r="W236" i="22"/>
  <c r="V236" i="22"/>
  <c r="Z235" i="22"/>
  <c r="Y235" i="22"/>
  <c r="X235" i="22"/>
  <c r="W235" i="22"/>
  <c r="V235" i="22"/>
  <c r="Z234" i="22"/>
  <c r="Y234" i="22"/>
  <c r="X234" i="22"/>
  <c r="W234" i="22"/>
  <c r="V234" i="22"/>
  <c r="Z233" i="22"/>
  <c r="Y233" i="22"/>
  <c r="X233" i="22"/>
  <c r="W233" i="22"/>
  <c r="V233" i="22"/>
  <c r="Z232" i="22"/>
  <c r="Y232" i="22"/>
  <c r="X232" i="22"/>
  <c r="W232" i="22"/>
  <c r="V232" i="22"/>
  <c r="Z231" i="22"/>
  <c r="Y231" i="22"/>
  <c r="X231" i="22"/>
  <c r="W231" i="22"/>
  <c r="V231" i="22"/>
  <c r="Z230" i="22"/>
  <c r="Y230" i="22"/>
  <c r="X230" i="22"/>
  <c r="W230" i="22"/>
  <c r="V230" i="22"/>
  <c r="Z229" i="22"/>
  <c r="Y229" i="22"/>
  <c r="X229" i="22"/>
  <c r="W229" i="22"/>
  <c r="V229" i="22"/>
  <c r="Z228" i="22"/>
  <c r="Y228" i="22"/>
  <c r="X228" i="22"/>
  <c r="W228" i="22"/>
  <c r="V228" i="22"/>
  <c r="Z227" i="22"/>
  <c r="Y227" i="22"/>
  <c r="X227" i="22"/>
  <c r="W227" i="22"/>
  <c r="V227" i="22"/>
  <c r="Z226" i="22"/>
  <c r="Y226" i="22"/>
  <c r="X226" i="22"/>
  <c r="W226" i="22"/>
  <c r="V226" i="22"/>
  <c r="Z225" i="22"/>
  <c r="Y225" i="22"/>
  <c r="X225" i="22"/>
  <c r="W225" i="22"/>
  <c r="V225" i="22"/>
  <c r="Z224" i="22"/>
  <c r="Y224" i="22"/>
  <c r="X224" i="22"/>
  <c r="W224" i="22"/>
  <c r="V224" i="22"/>
  <c r="Z223" i="22"/>
  <c r="Y223" i="22"/>
  <c r="X223" i="22"/>
  <c r="W223" i="22"/>
  <c r="V223" i="22"/>
  <c r="Z220" i="22"/>
  <c r="Y220" i="22"/>
  <c r="X220" i="22"/>
  <c r="W220" i="22"/>
  <c r="V220" i="22"/>
  <c r="Z219" i="22"/>
  <c r="Y219" i="22"/>
  <c r="X219" i="22"/>
  <c r="W219" i="22"/>
  <c r="V219" i="22"/>
  <c r="Z218" i="22"/>
  <c r="Y218" i="22"/>
  <c r="X218" i="22"/>
  <c r="W218" i="22"/>
  <c r="V218" i="22"/>
  <c r="Z217" i="22"/>
  <c r="Y217" i="22"/>
  <c r="X217" i="22"/>
  <c r="W217" i="22"/>
  <c r="V217" i="22"/>
  <c r="Z216" i="22"/>
  <c r="Y216" i="22"/>
  <c r="X216" i="22"/>
  <c r="W216" i="22"/>
  <c r="V216" i="22"/>
  <c r="Z215" i="22"/>
  <c r="Y215" i="22"/>
  <c r="X215" i="22"/>
  <c r="W215" i="22"/>
  <c r="V215" i="22"/>
  <c r="Z214" i="22"/>
  <c r="Y214" i="22"/>
  <c r="X214" i="22"/>
  <c r="W214" i="22"/>
  <c r="V214" i="22"/>
  <c r="Z213" i="22"/>
  <c r="Y213" i="22"/>
  <c r="X213" i="22"/>
  <c r="W213" i="22"/>
  <c r="V213" i="22"/>
  <c r="Z212" i="22"/>
  <c r="Y212" i="22"/>
  <c r="X212" i="22"/>
  <c r="W212" i="22"/>
  <c r="V212" i="22"/>
  <c r="Z209" i="22"/>
  <c r="Y209" i="22"/>
  <c r="X209" i="22"/>
  <c r="W209" i="22"/>
  <c r="V209" i="22"/>
  <c r="Z208" i="22"/>
  <c r="Y208" i="22"/>
  <c r="X208" i="22"/>
  <c r="W208" i="22"/>
  <c r="V208" i="22"/>
  <c r="Z207" i="22"/>
  <c r="Y207" i="22"/>
  <c r="X207" i="22"/>
  <c r="W207" i="22"/>
  <c r="V207" i="22"/>
  <c r="Z206" i="22"/>
  <c r="Y206" i="22"/>
  <c r="X206" i="22"/>
  <c r="W206" i="22"/>
  <c r="V206" i="22"/>
  <c r="Z205" i="22"/>
  <c r="Y205" i="22"/>
  <c r="X205" i="22"/>
  <c r="W205" i="22"/>
  <c r="V205" i="22"/>
  <c r="Z204" i="22"/>
  <c r="Y204" i="22"/>
  <c r="X204" i="22"/>
  <c r="W204" i="22"/>
  <c r="V204" i="22"/>
  <c r="Z203" i="22"/>
  <c r="Y203" i="22"/>
  <c r="X203" i="22"/>
  <c r="W203" i="22"/>
  <c r="V203" i="22"/>
  <c r="Z202" i="22"/>
  <c r="Y202" i="22"/>
  <c r="X202" i="22"/>
  <c r="W202" i="22"/>
  <c r="V202" i="22"/>
  <c r="Z201" i="22"/>
  <c r="Y201" i="22"/>
  <c r="X201" i="22"/>
  <c r="W201" i="22"/>
  <c r="V201" i="22"/>
  <c r="Z200" i="22"/>
  <c r="Y200" i="22"/>
  <c r="X200" i="22"/>
  <c r="W200" i="22"/>
  <c r="V200" i="22"/>
  <c r="Z199" i="22"/>
  <c r="Y199" i="22"/>
  <c r="X199" i="22"/>
  <c r="W199" i="22"/>
  <c r="V199" i="22"/>
  <c r="Z198" i="22"/>
  <c r="Y198" i="22"/>
  <c r="X198" i="22"/>
  <c r="W198" i="22"/>
  <c r="V198" i="22"/>
  <c r="Z197" i="22"/>
  <c r="Y197" i="22"/>
  <c r="X197" i="22"/>
  <c r="W197" i="22"/>
  <c r="V197" i="22"/>
  <c r="Z194" i="22"/>
  <c r="Y194" i="22"/>
  <c r="X194" i="22"/>
  <c r="W194" i="22"/>
  <c r="V194" i="22"/>
  <c r="Z193" i="22"/>
  <c r="Y193" i="22"/>
  <c r="X193" i="22"/>
  <c r="W193" i="22"/>
  <c r="Z192" i="22"/>
  <c r="Y192" i="22"/>
  <c r="X192" i="22"/>
  <c r="W192" i="22"/>
  <c r="V192" i="22"/>
  <c r="Z191" i="22"/>
  <c r="Y191" i="22"/>
  <c r="X191" i="22"/>
  <c r="W191" i="22"/>
  <c r="V191" i="22"/>
  <c r="Z190" i="22"/>
  <c r="Y190" i="22"/>
  <c r="X190" i="22"/>
  <c r="W190" i="22"/>
  <c r="V190" i="22"/>
  <c r="Z188" i="22"/>
  <c r="Y188" i="22"/>
  <c r="X188" i="22"/>
  <c r="W188" i="22"/>
  <c r="V188" i="22"/>
  <c r="Z187" i="22"/>
  <c r="Y187" i="22"/>
  <c r="X187" i="22"/>
  <c r="W187" i="22"/>
  <c r="V187" i="22"/>
  <c r="Z186" i="22"/>
  <c r="Y186" i="22"/>
  <c r="X186" i="22"/>
  <c r="W186" i="22"/>
  <c r="V186" i="22"/>
  <c r="Z183" i="22"/>
  <c r="Y183" i="22"/>
  <c r="X183" i="22"/>
  <c r="W183" i="22"/>
  <c r="V183" i="22"/>
  <c r="Z182" i="22"/>
  <c r="Y182" i="22"/>
  <c r="X182" i="22"/>
  <c r="W182" i="22"/>
  <c r="V182" i="22"/>
  <c r="Z181" i="22"/>
  <c r="Y181" i="22"/>
  <c r="X181" i="22"/>
  <c r="W181" i="22"/>
  <c r="V181" i="22"/>
  <c r="Z180" i="22"/>
  <c r="Y180" i="22"/>
  <c r="X180" i="22"/>
  <c r="W180" i="22"/>
  <c r="V180" i="22"/>
  <c r="Z179" i="22"/>
  <c r="Y179" i="22"/>
  <c r="X179" i="22"/>
  <c r="W179" i="22"/>
  <c r="V179" i="22"/>
  <c r="Z178" i="22"/>
  <c r="Y178" i="22"/>
  <c r="X178" i="22"/>
  <c r="W178" i="22"/>
  <c r="V178" i="22"/>
  <c r="Z175" i="22"/>
  <c r="Y175" i="22"/>
  <c r="X175" i="22"/>
  <c r="W175" i="22"/>
  <c r="V175" i="22"/>
  <c r="Z174" i="22"/>
  <c r="Y174" i="22"/>
  <c r="X174" i="22"/>
  <c r="W174" i="22"/>
  <c r="V174" i="22"/>
  <c r="Z173" i="22"/>
  <c r="Y173" i="22"/>
  <c r="X173" i="22"/>
  <c r="W173" i="22"/>
  <c r="V173" i="22"/>
  <c r="Z172" i="22"/>
  <c r="Y172" i="22"/>
  <c r="X172" i="22"/>
  <c r="W172" i="22"/>
  <c r="V172" i="22"/>
  <c r="Z171" i="22"/>
  <c r="Y171" i="22"/>
  <c r="X171" i="22"/>
  <c r="W171" i="22"/>
  <c r="V171" i="22"/>
  <c r="Z170" i="22"/>
  <c r="Y170" i="22"/>
  <c r="X170" i="22"/>
  <c r="W170" i="22"/>
  <c r="V170" i="22"/>
  <c r="Z169" i="22"/>
  <c r="Y169" i="22"/>
  <c r="X169" i="22"/>
  <c r="W169" i="22"/>
  <c r="V169" i="22"/>
  <c r="Z168" i="22"/>
  <c r="Y168" i="22"/>
  <c r="X168" i="22"/>
  <c r="W168" i="22"/>
  <c r="V168" i="22"/>
  <c r="Z167" i="22"/>
  <c r="Y167" i="22"/>
  <c r="X167" i="22"/>
  <c r="W167" i="22"/>
  <c r="V167" i="22"/>
  <c r="Z166" i="22"/>
  <c r="Y166" i="22"/>
  <c r="X166" i="22"/>
  <c r="W166" i="22"/>
  <c r="V166" i="22"/>
  <c r="Z165" i="22"/>
  <c r="Y165" i="22"/>
  <c r="X165" i="22"/>
  <c r="W165" i="22"/>
  <c r="V165" i="22"/>
  <c r="Z164" i="22"/>
  <c r="Y164" i="22"/>
  <c r="X164" i="22"/>
  <c r="W164" i="22"/>
  <c r="V164" i="22"/>
  <c r="Z163" i="22"/>
  <c r="Y163" i="22"/>
  <c r="X163" i="22"/>
  <c r="W163" i="22"/>
  <c r="V163" i="22"/>
  <c r="Z162" i="22"/>
  <c r="Y162" i="22"/>
  <c r="X162" i="22"/>
  <c r="W162" i="22"/>
  <c r="V162" i="22"/>
  <c r="Z161" i="22"/>
  <c r="Y161" i="22"/>
  <c r="X161" i="22"/>
  <c r="W161" i="22"/>
  <c r="V161" i="22"/>
  <c r="Z160" i="22"/>
  <c r="Y160" i="22"/>
  <c r="X160" i="22"/>
  <c r="W160" i="22"/>
  <c r="V160" i="22"/>
  <c r="Z159" i="22"/>
  <c r="Y159" i="22"/>
  <c r="X159" i="22"/>
  <c r="W159" i="22"/>
  <c r="V159" i="22"/>
  <c r="Z158" i="22"/>
  <c r="Y158" i="22"/>
  <c r="X158" i="22"/>
  <c r="W158" i="22"/>
  <c r="V158" i="22"/>
  <c r="Z157" i="22"/>
  <c r="Y157" i="22"/>
  <c r="X157" i="22"/>
  <c r="W157" i="22"/>
  <c r="V157" i="22"/>
  <c r="Z156" i="22"/>
  <c r="Y156" i="22"/>
  <c r="X156" i="22"/>
  <c r="W156" i="22"/>
  <c r="V156" i="22"/>
  <c r="Z155" i="22"/>
  <c r="Y155" i="22"/>
  <c r="X155" i="22"/>
  <c r="W155" i="22"/>
  <c r="V155" i="22"/>
  <c r="Z154" i="22"/>
  <c r="Y154" i="22"/>
  <c r="X154" i="22"/>
  <c r="W154" i="22"/>
  <c r="V154" i="22"/>
  <c r="Z153" i="22"/>
  <c r="Y153" i="22"/>
  <c r="X153" i="22"/>
  <c r="W153" i="22"/>
  <c r="V153" i="22"/>
  <c r="Z150" i="22"/>
  <c r="Y150" i="22"/>
  <c r="X150" i="22"/>
  <c r="W150" i="22"/>
  <c r="V150" i="22"/>
  <c r="Z149" i="22"/>
  <c r="Y149" i="22"/>
  <c r="X149" i="22"/>
  <c r="W149" i="22"/>
  <c r="V149" i="22"/>
  <c r="Z148" i="22"/>
  <c r="Y148" i="22"/>
  <c r="X148" i="22"/>
  <c r="W148" i="22"/>
  <c r="V148" i="22"/>
  <c r="Z147" i="22"/>
  <c r="Y147" i="22"/>
  <c r="X147" i="22"/>
  <c r="W147" i="22"/>
  <c r="V147" i="22"/>
  <c r="Z146" i="22"/>
  <c r="Y146" i="22"/>
  <c r="X146" i="22"/>
  <c r="W146" i="22"/>
  <c r="V146" i="22"/>
  <c r="Z145" i="22"/>
  <c r="Y145" i="22"/>
  <c r="X145" i="22"/>
  <c r="W145" i="22"/>
  <c r="V145" i="22"/>
  <c r="Z144" i="22"/>
  <c r="Y144" i="22"/>
  <c r="X144" i="22"/>
  <c r="W144" i="22"/>
  <c r="V144" i="22"/>
  <c r="Z143" i="22"/>
  <c r="Y143" i="22"/>
  <c r="X143" i="22"/>
  <c r="W143" i="22"/>
  <c r="V143" i="22"/>
  <c r="Z142" i="22"/>
  <c r="Y142" i="22"/>
  <c r="X142" i="22"/>
  <c r="W142" i="22"/>
  <c r="V142" i="22"/>
  <c r="Z141" i="22"/>
  <c r="Y141" i="22"/>
  <c r="X141" i="22"/>
  <c r="W141" i="22"/>
  <c r="V141" i="22"/>
  <c r="Z140" i="22"/>
  <c r="Y140" i="22"/>
  <c r="X140" i="22"/>
  <c r="W140" i="22"/>
  <c r="V140" i="22"/>
  <c r="Z137" i="22"/>
  <c r="Y137" i="22"/>
  <c r="X137" i="22"/>
  <c r="W137" i="22"/>
  <c r="V137" i="22"/>
  <c r="Z136" i="22"/>
  <c r="Y136" i="22"/>
  <c r="X136" i="22"/>
  <c r="W136" i="22"/>
  <c r="V136" i="22"/>
  <c r="Z135" i="22"/>
  <c r="Y135" i="22"/>
  <c r="X135" i="22"/>
  <c r="W135" i="22"/>
  <c r="V135" i="22"/>
  <c r="Z134" i="22"/>
  <c r="Y134" i="22"/>
  <c r="X134" i="22"/>
  <c r="W134" i="22"/>
  <c r="V134" i="22"/>
  <c r="Z133" i="22"/>
  <c r="Y133" i="22"/>
  <c r="X133" i="22"/>
  <c r="W133" i="22"/>
  <c r="V133" i="22"/>
  <c r="Z132" i="22"/>
  <c r="Y132" i="22"/>
  <c r="X132" i="22"/>
  <c r="W132" i="22"/>
  <c r="V132" i="22"/>
  <c r="Z131" i="22"/>
  <c r="Y131" i="22"/>
  <c r="X131" i="22"/>
  <c r="W131" i="22"/>
  <c r="V131" i="22"/>
  <c r="Z130" i="22"/>
  <c r="Y130" i="22"/>
  <c r="X130" i="22"/>
  <c r="W130" i="22"/>
  <c r="V130" i="22"/>
  <c r="Z129" i="22"/>
  <c r="Y129" i="22"/>
  <c r="X129" i="22"/>
  <c r="W129" i="22"/>
  <c r="V129" i="22"/>
  <c r="Z128" i="22"/>
  <c r="Y128" i="22"/>
  <c r="X128" i="22"/>
  <c r="W128" i="22"/>
  <c r="V128" i="22"/>
  <c r="Z127" i="22"/>
  <c r="Y127" i="22"/>
  <c r="X127" i="22"/>
  <c r="W127" i="22"/>
  <c r="V127" i="22"/>
  <c r="Z126" i="22"/>
  <c r="Y126" i="22"/>
  <c r="X126" i="22"/>
  <c r="W126" i="22"/>
  <c r="V126" i="22"/>
  <c r="Z125" i="22"/>
  <c r="Y125" i="22"/>
  <c r="X125" i="22"/>
  <c r="W125" i="22"/>
  <c r="V125" i="22"/>
  <c r="Z124" i="22"/>
  <c r="Y124" i="22"/>
  <c r="X124" i="22"/>
  <c r="W124" i="22"/>
  <c r="V124" i="22"/>
  <c r="Z123" i="22"/>
  <c r="Y123" i="22"/>
  <c r="X123" i="22"/>
  <c r="W123" i="22"/>
  <c r="V123" i="22"/>
  <c r="Z122" i="22"/>
  <c r="Y122" i="22"/>
  <c r="X122" i="22"/>
  <c r="W122" i="22"/>
  <c r="V122" i="22"/>
  <c r="Z121" i="22"/>
  <c r="Y121" i="22"/>
  <c r="X121" i="22"/>
  <c r="W121" i="22"/>
  <c r="V121" i="22"/>
  <c r="Z120" i="22"/>
  <c r="Y120" i="22"/>
  <c r="X120" i="22"/>
  <c r="W120" i="22"/>
  <c r="V120" i="22"/>
  <c r="Z119" i="22"/>
  <c r="Y119" i="22"/>
  <c r="X119" i="22"/>
  <c r="W119" i="22"/>
  <c r="V119" i="22"/>
  <c r="Z118" i="22"/>
  <c r="Y118" i="22"/>
  <c r="X118" i="22"/>
  <c r="W118" i="22"/>
  <c r="V118" i="22"/>
  <c r="Z117" i="22"/>
  <c r="Y117" i="22"/>
  <c r="X117" i="22"/>
  <c r="W117" i="22"/>
  <c r="V117" i="22"/>
  <c r="Z116" i="22"/>
  <c r="Y116" i="22"/>
  <c r="X116" i="22"/>
  <c r="W116" i="22"/>
  <c r="V116" i="22"/>
  <c r="Z115" i="22"/>
  <c r="Y115" i="22"/>
  <c r="X115" i="22"/>
  <c r="W115" i="22"/>
  <c r="V115" i="22"/>
  <c r="Z114" i="22"/>
  <c r="Y114" i="22"/>
  <c r="X114" i="22"/>
  <c r="W114" i="22"/>
  <c r="V114" i="22"/>
  <c r="Z113" i="22"/>
  <c r="Y113" i="22"/>
  <c r="X113" i="22"/>
  <c r="W113" i="22"/>
  <c r="V113" i="22"/>
  <c r="Z112" i="22"/>
  <c r="Y112" i="22"/>
  <c r="X112" i="22"/>
  <c r="W112" i="22"/>
  <c r="V112" i="22"/>
  <c r="Z111" i="22"/>
  <c r="Y111" i="22"/>
  <c r="X111" i="22"/>
  <c r="W111" i="22"/>
  <c r="V111" i="22"/>
  <c r="Z110" i="22"/>
  <c r="Y110" i="22"/>
  <c r="X110" i="22"/>
  <c r="W110" i="22"/>
  <c r="V110" i="22"/>
  <c r="Z109" i="22"/>
  <c r="Y109" i="22"/>
  <c r="X109" i="22"/>
  <c r="W109" i="22"/>
  <c r="V109" i="22"/>
  <c r="Z106" i="22"/>
  <c r="Y106" i="22"/>
  <c r="X106" i="22"/>
  <c r="W106" i="22"/>
  <c r="V106" i="22"/>
  <c r="Z105" i="22"/>
  <c r="Y105" i="22"/>
  <c r="X105" i="22"/>
  <c r="W105" i="22"/>
  <c r="V105" i="22"/>
  <c r="Z104" i="22"/>
  <c r="Y104" i="22"/>
  <c r="X104" i="22"/>
  <c r="W104" i="22"/>
  <c r="V104" i="22"/>
  <c r="Z103" i="22"/>
  <c r="Y103" i="22"/>
  <c r="X103" i="22"/>
  <c r="W103" i="22"/>
  <c r="V103" i="22"/>
  <c r="Z102" i="22"/>
  <c r="Y102" i="22"/>
  <c r="X102" i="22"/>
  <c r="W102" i="22"/>
  <c r="V102" i="22"/>
  <c r="Z101" i="22"/>
  <c r="Y101" i="22"/>
  <c r="X101" i="22"/>
  <c r="W101" i="22"/>
  <c r="V101" i="22"/>
  <c r="Z100" i="22"/>
  <c r="Y100" i="22"/>
  <c r="X100" i="22"/>
  <c r="W100" i="22"/>
  <c r="V100" i="22"/>
  <c r="Z99" i="22"/>
  <c r="Y99" i="22"/>
  <c r="X99" i="22"/>
  <c r="W99" i="22"/>
  <c r="V99" i="22"/>
  <c r="Z98" i="22"/>
  <c r="Y98" i="22"/>
  <c r="X98" i="22"/>
  <c r="W98" i="22"/>
  <c r="V98" i="22"/>
  <c r="Z97" i="22"/>
  <c r="Y97" i="22"/>
  <c r="X97" i="22"/>
  <c r="W97" i="22"/>
  <c r="V97" i="22"/>
  <c r="Z96" i="22"/>
  <c r="Y96" i="22"/>
  <c r="X96" i="22"/>
  <c r="W96" i="22"/>
  <c r="V96" i="22"/>
  <c r="Z95" i="22"/>
  <c r="Y95" i="22"/>
  <c r="X95" i="22"/>
  <c r="W95" i="22"/>
  <c r="V95" i="22"/>
  <c r="Z94" i="22"/>
  <c r="Y94" i="22"/>
  <c r="X94" i="22"/>
  <c r="W94" i="22"/>
  <c r="V94" i="22"/>
  <c r="Z91" i="22"/>
  <c r="Y91" i="22"/>
  <c r="X91" i="22"/>
  <c r="W91" i="22"/>
  <c r="V91" i="22"/>
  <c r="Z90" i="22"/>
  <c r="Y90" i="22"/>
  <c r="X90" i="22"/>
  <c r="W90" i="22"/>
  <c r="V90" i="22"/>
  <c r="Z89" i="22"/>
  <c r="Y89" i="22"/>
  <c r="X89" i="22"/>
  <c r="W89" i="22"/>
  <c r="V89" i="22"/>
  <c r="Z88" i="22"/>
  <c r="Y88" i="22"/>
  <c r="X88" i="22"/>
  <c r="W88" i="22"/>
  <c r="V88" i="22"/>
  <c r="Z87" i="22"/>
  <c r="Y87" i="22"/>
  <c r="X87" i="22"/>
  <c r="W87" i="22"/>
  <c r="V87" i="22"/>
  <c r="Z85" i="22"/>
  <c r="Y85" i="22"/>
  <c r="X85" i="22"/>
  <c r="W85" i="22"/>
  <c r="V85" i="22"/>
  <c r="Z84" i="22"/>
  <c r="Y84" i="22"/>
  <c r="X84" i="22"/>
  <c r="W84" i="22"/>
  <c r="V84" i="22"/>
  <c r="Z83" i="22"/>
  <c r="Y83" i="22"/>
  <c r="X83" i="22"/>
  <c r="W83" i="22"/>
  <c r="V83" i="22"/>
  <c r="Z82" i="22"/>
  <c r="Y82" i="22"/>
  <c r="X82" i="22"/>
  <c r="W82" i="22"/>
  <c r="V82" i="22"/>
  <c r="Z80" i="22"/>
  <c r="Y80" i="22"/>
  <c r="X80" i="22"/>
  <c r="W80" i="22"/>
  <c r="V80" i="22"/>
  <c r="Z79" i="22"/>
  <c r="Y79" i="22"/>
  <c r="X79" i="22"/>
  <c r="W79" i="22"/>
  <c r="V79" i="22"/>
  <c r="Z78" i="22"/>
  <c r="Y78" i="22"/>
  <c r="X78" i="22"/>
  <c r="W78" i="22"/>
  <c r="V78" i="22"/>
  <c r="Z77" i="22"/>
  <c r="Y77" i="22"/>
  <c r="X77" i="22"/>
  <c r="W77" i="22"/>
  <c r="V77" i="22"/>
  <c r="Z76" i="22"/>
  <c r="Y76" i="22"/>
  <c r="X76" i="22"/>
  <c r="W76" i="22"/>
  <c r="V76" i="22"/>
  <c r="Z75" i="22"/>
  <c r="Y75" i="22"/>
  <c r="X75" i="22"/>
  <c r="W75" i="22"/>
  <c r="V75" i="22"/>
  <c r="Z74" i="22"/>
  <c r="Y74" i="22"/>
  <c r="X74" i="22"/>
  <c r="W74" i="22"/>
  <c r="V74" i="22"/>
  <c r="Z73" i="22"/>
  <c r="Y73" i="22"/>
  <c r="X73" i="22"/>
  <c r="W73" i="22"/>
  <c r="V73" i="22"/>
  <c r="Z69" i="22"/>
  <c r="Y69" i="22"/>
  <c r="X69" i="22"/>
  <c r="W69" i="22"/>
  <c r="V69" i="22"/>
  <c r="Z68" i="22"/>
  <c r="Y68" i="22"/>
  <c r="X68" i="22"/>
  <c r="W68" i="22"/>
  <c r="V68" i="22"/>
  <c r="Z67" i="22"/>
  <c r="Y67" i="22"/>
  <c r="X67" i="22"/>
  <c r="W67" i="22"/>
  <c r="V67" i="22"/>
  <c r="Z65" i="22"/>
  <c r="Y65" i="22"/>
  <c r="X65" i="22"/>
  <c r="W65" i="22"/>
  <c r="V65" i="22"/>
  <c r="Z64" i="22"/>
  <c r="Y64" i="22"/>
  <c r="X64" i="22"/>
  <c r="W64" i="22"/>
  <c r="V64" i="22"/>
  <c r="Z63" i="22"/>
  <c r="Y63" i="22"/>
  <c r="X63" i="22"/>
  <c r="W63" i="22"/>
  <c r="V63" i="22"/>
  <c r="Z62" i="22"/>
  <c r="Y62" i="22"/>
  <c r="X62" i="22"/>
  <c r="W62" i="22"/>
  <c r="V62" i="22"/>
  <c r="Z61" i="22"/>
  <c r="Y61" i="22"/>
  <c r="X61" i="22"/>
  <c r="W61" i="22"/>
  <c r="V61" i="22"/>
  <c r="Z60" i="22"/>
  <c r="Y60" i="22"/>
  <c r="X60" i="22"/>
  <c r="W60" i="22"/>
  <c r="V60" i="22"/>
  <c r="Z59" i="22"/>
  <c r="Y59" i="22"/>
  <c r="X59" i="22"/>
  <c r="W59" i="22"/>
  <c r="V59" i="22"/>
  <c r="Z58" i="22"/>
  <c r="Y58" i="22"/>
  <c r="X58" i="22"/>
  <c r="W58" i="22"/>
  <c r="V58" i="22"/>
  <c r="Z57" i="22"/>
  <c r="Y57" i="22"/>
  <c r="X57" i="22"/>
  <c r="W57" i="22"/>
  <c r="V57" i="22"/>
  <c r="Z56" i="22"/>
  <c r="Y56" i="22"/>
  <c r="X56" i="22"/>
  <c r="W56" i="22"/>
  <c r="V56" i="22"/>
  <c r="Z54" i="22"/>
  <c r="Y54" i="22"/>
  <c r="X54" i="22"/>
  <c r="W54" i="22"/>
  <c r="V54" i="22"/>
  <c r="Z53" i="22"/>
  <c r="Y53" i="22"/>
  <c r="X53" i="22"/>
  <c r="W53" i="22"/>
  <c r="V53" i="22"/>
  <c r="Z52" i="22"/>
  <c r="Y52" i="22"/>
  <c r="X52" i="22"/>
  <c r="W52" i="22"/>
  <c r="V52" i="22"/>
  <c r="Z51" i="22"/>
  <c r="Y51" i="22"/>
  <c r="X51" i="22"/>
  <c r="W51" i="22"/>
  <c r="V51" i="22"/>
  <c r="Z50" i="22"/>
  <c r="Y50" i="22"/>
  <c r="X50" i="22"/>
  <c r="W50" i="22"/>
  <c r="V50" i="22"/>
  <c r="Z48" i="22"/>
  <c r="Y48" i="22"/>
  <c r="X48" i="22"/>
  <c r="W48" i="22"/>
  <c r="V48" i="22"/>
  <c r="Z47" i="22"/>
  <c r="Y47" i="22"/>
  <c r="X47" i="22"/>
  <c r="W47" i="22"/>
  <c r="V47" i="22"/>
  <c r="Z46" i="22"/>
  <c r="Y46" i="22"/>
  <c r="X46" i="22"/>
  <c r="W46" i="22"/>
  <c r="V46" i="22"/>
  <c r="Z45" i="22"/>
  <c r="Y45" i="22"/>
  <c r="X45" i="22"/>
  <c r="W45" i="22"/>
  <c r="V45" i="22"/>
  <c r="Z44" i="22"/>
  <c r="Y44" i="22"/>
  <c r="X44" i="22"/>
  <c r="W44" i="22"/>
  <c r="V44" i="22"/>
  <c r="Z43" i="22"/>
  <c r="Y43" i="22"/>
  <c r="X43" i="22"/>
  <c r="W43" i="22"/>
  <c r="V43" i="22"/>
  <c r="Z42" i="22"/>
  <c r="Y42" i="22"/>
  <c r="X42" i="22"/>
  <c r="W42" i="22"/>
  <c r="V42" i="22"/>
  <c r="Z41" i="22"/>
  <c r="Y41" i="22"/>
  <c r="X41" i="22"/>
  <c r="W41" i="22"/>
  <c r="V41" i="22"/>
  <c r="Z40" i="22"/>
  <c r="Y40" i="22"/>
  <c r="X40" i="22"/>
  <c r="W40" i="22"/>
  <c r="V40" i="22"/>
  <c r="Z39" i="22"/>
  <c r="Y39" i="22"/>
  <c r="X39" i="22"/>
  <c r="W39" i="22"/>
  <c r="V39" i="22"/>
  <c r="Z38" i="22"/>
  <c r="Y38" i="22"/>
  <c r="X38" i="22"/>
  <c r="W38" i="22"/>
  <c r="V38" i="22"/>
  <c r="Z37" i="22"/>
  <c r="Y37" i="22"/>
  <c r="X37" i="22"/>
  <c r="W37" i="22"/>
  <c r="V37" i="22"/>
  <c r="Z36" i="22"/>
  <c r="Y36" i="22"/>
  <c r="X36" i="22"/>
  <c r="W36" i="22"/>
  <c r="V36" i="22"/>
  <c r="Z35" i="22"/>
  <c r="Y35" i="22"/>
  <c r="X35" i="22"/>
  <c r="W35" i="22"/>
  <c r="V35" i="22"/>
  <c r="Z31" i="22"/>
  <c r="Y31" i="22"/>
  <c r="X31" i="22"/>
  <c r="W31" i="22"/>
  <c r="V31" i="22"/>
  <c r="Z30" i="22"/>
  <c r="Y30" i="22"/>
  <c r="X30" i="22"/>
  <c r="W30" i="22"/>
  <c r="V30" i="22"/>
  <c r="Z29" i="22"/>
  <c r="Y29" i="22"/>
  <c r="X29" i="22"/>
  <c r="W29" i="22"/>
  <c r="V29" i="22"/>
  <c r="Z28" i="22"/>
  <c r="Y28" i="22"/>
  <c r="X28" i="22"/>
  <c r="W28" i="22"/>
  <c r="V28" i="22"/>
  <c r="Z27" i="22"/>
  <c r="Y27" i="22"/>
  <c r="X27" i="22"/>
  <c r="W27" i="22"/>
  <c r="V27" i="22"/>
  <c r="Z26" i="22"/>
  <c r="Y26" i="22"/>
  <c r="X26" i="22"/>
  <c r="W26" i="22"/>
  <c r="V26" i="22"/>
  <c r="Z25" i="22"/>
  <c r="Y25" i="22"/>
  <c r="X25" i="22"/>
  <c r="W25" i="22"/>
  <c r="V25" i="22"/>
  <c r="Z24" i="22"/>
  <c r="Y24" i="22"/>
  <c r="X24" i="22"/>
  <c r="W24" i="22"/>
  <c r="V24" i="22"/>
  <c r="Z23" i="22"/>
  <c r="Y23" i="22"/>
  <c r="X23" i="22"/>
  <c r="W23" i="22"/>
  <c r="V23" i="22"/>
  <c r="V17" i="22"/>
  <c r="W17" i="22"/>
  <c r="X17" i="22"/>
  <c r="Y17" i="22"/>
  <c r="Z17" i="22"/>
  <c r="V18" i="22"/>
  <c r="W18" i="22"/>
  <c r="X18" i="22"/>
  <c r="Y18" i="22"/>
  <c r="Z18" i="22"/>
  <c r="V19" i="22"/>
  <c r="W19" i="22"/>
  <c r="X19" i="22"/>
  <c r="Y19" i="22"/>
  <c r="Z19" i="22"/>
  <c r="V20" i="22"/>
  <c r="W20" i="22"/>
  <c r="X20" i="22"/>
  <c r="Y20" i="22"/>
  <c r="Z20" i="22"/>
  <c r="U255" i="22"/>
  <c r="T255" i="22"/>
  <c r="S255" i="22"/>
  <c r="R255" i="22"/>
  <c r="Q255" i="22"/>
  <c r="P255" i="22"/>
  <c r="O255" i="22"/>
  <c r="N255" i="22"/>
  <c r="M255" i="22"/>
  <c r="L255" i="22"/>
  <c r="U254" i="22"/>
  <c r="T254" i="22"/>
  <c r="S254" i="22"/>
  <c r="R254" i="22"/>
  <c r="Q254" i="22"/>
  <c r="P254" i="22"/>
  <c r="O254" i="22"/>
  <c r="N254" i="22"/>
  <c r="M254" i="22"/>
  <c r="L254" i="22"/>
  <c r="U253" i="22"/>
  <c r="T253" i="22"/>
  <c r="S253" i="22"/>
  <c r="R253" i="22"/>
  <c r="Q253" i="22"/>
  <c r="P253" i="22"/>
  <c r="O253" i="22"/>
  <c r="N253" i="22"/>
  <c r="M253" i="22"/>
  <c r="L253" i="22"/>
  <c r="U250" i="22"/>
  <c r="T250" i="22"/>
  <c r="S250" i="22"/>
  <c r="R250" i="22"/>
  <c r="Q250" i="22"/>
  <c r="P250" i="22"/>
  <c r="O250" i="22"/>
  <c r="N250" i="22"/>
  <c r="M250" i="22"/>
  <c r="L250" i="22"/>
  <c r="U249" i="22"/>
  <c r="T249" i="22"/>
  <c r="S249" i="22"/>
  <c r="R249" i="22"/>
  <c r="Q249" i="22"/>
  <c r="P249" i="22"/>
  <c r="O249" i="22"/>
  <c r="N249" i="22"/>
  <c r="M249" i="22"/>
  <c r="L249" i="22"/>
  <c r="U248" i="22"/>
  <c r="T248" i="22"/>
  <c r="S248" i="22"/>
  <c r="R248" i="22"/>
  <c r="P248" i="22"/>
  <c r="O248" i="22"/>
  <c r="N248" i="22"/>
  <c r="M248" i="22"/>
  <c r="U247" i="22"/>
  <c r="T247" i="22"/>
  <c r="S247" i="22"/>
  <c r="R247" i="22"/>
  <c r="Q247" i="22"/>
  <c r="P247" i="22"/>
  <c r="O247" i="22"/>
  <c r="N247" i="22"/>
  <c r="M247" i="22"/>
  <c r="L247" i="22"/>
  <c r="U246" i="22"/>
  <c r="T246" i="22"/>
  <c r="S246" i="22"/>
  <c r="R246" i="22"/>
  <c r="Q246" i="22"/>
  <c r="P246" i="22"/>
  <c r="O246" i="22"/>
  <c r="N246" i="22"/>
  <c r="M246" i="22"/>
  <c r="L246" i="22"/>
  <c r="U245" i="22"/>
  <c r="T245" i="22"/>
  <c r="S245" i="22"/>
  <c r="R245" i="22"/>
  <c r="Q245" i="22"/>
  <c r="P245" i="22"/>
  <c r="O245" i="22"/>
  <c r="N245" i="22"/>
  <c r="M245" i="22"/>
  <c r="L245" i="22"/>
  <c r="U244" i="22"/>
  <c r="T244" i="22"/>
  <c r="S244" i="22"/>
  <c r="R244" i="22"/>
  <c r="P244" i="22"/>
  <c r="O244" i="22"/>
  <c r="N244" i="22"/>
  <c r="M244" i="22"/>
  <c r="U243" i="22"/>
  <c r="T243" i="22"/>
  <c r="S243" i="22"/>
  <c r="R243" i="22"/>
  <c r="Q243" i="22"/>
  <c r="P243" i="22"/>
  <c r="O243" i="22"/>
  <c r="N243" i="22"/>
  <c r="M243" i="22"/>
  <c r="L243" i="22"/>
  <c r="U242" i="22"/>
  <c r="T242" i="22"/>
  <c r="S242" i="22"/>
  <c r="R242" i="22"/>
  <c r="Q242" i="22"/>
  <c r="P242" i="22"/>
  <c r="O242" i="22"/>
  <c r="N242" i="22"/>
  <c r="M242" i="22"/>
  <c r="L242" i="22"/>
  <c r="U241" i="22"/>
  <c r="T241" i="22"/>
  <c r="S241" i="22"/>
  <c r="R241" i="22"/>
  <c r="Q241" i="22"/>
  <c r="P241" i="22"/>
  <c r="O241" i="22"/>
  <c r="N241" i="22"/>
  <c r="M241" i="22"/>
  <c r="L241" i="22"/>
  <c r="U240" i="22"/>
  <c r="T240" i="22"/>
  <c r="S240" i="22"/>
  <c r="R240" i="22"/>
  <c r="Q240" i="22"/>
  <c r="P240" i="22"/>
  <c r="O240" i="22"/>
  <c r="N240" i="22"/>
  <c r="M240" i="22"/>
  <c r="L240" i="22"/>
  <c r="U239" i="22"/>
  <c r="T239" i="22"/>
  <c r="S239" i="22"/>
  <c r="R239" i="22"/>
  <c r="Q239" i="22"/>
  <c r="P239" i="22"/>
  <c r="O239" i="22"/>
  <c r="N239" i="22"/>
  <c r="M239" i="22"/>
  <c r="L239" i="22"/>
  <c r="U238" i="22"/>
  <c r="T238" i="22"/>
  <c r="S238" i="22"/>
  <c r="R238" i="22"/>
  <c r="Q238" i="22"/>
  <c r="P238" i="22"/>
  <c r="O238" i="22"/>
  <c r="N238" i="22"/>
  <c r="M238" i="22"/>
  <c r="L238" i="22"/>
  <c r="U237" i="22"/>
  <c r="T237" i="22"/>
  <c r="S237" i="22"/>
  <c r="R237" i="22"/>
  <c r="Q237" i="22"/>
  <c r="P237" i="22"/>
  <c r="O237" i="22"/>
  <c r="N237" i="22"/>
  <c r="M237" i="22"/>
  <c r="L237" i="22"/>
  <c r="U236" i="22"/>
  <c r="T236" i="22"/>
  <c r="S236" i="22"/>
  <c r="R236" i="22"/>
  <c r="Q236" i="22"/>
  <c r="P236" i="22"/>
  <c r="O236" i="22"/>
  <c r="N236" i="22"/>
  <c r="M236" i="22"/>
  <c r="L236" i="22"/>
  <c r="U235" i="22"/>
  <c r="T235" i="22"/>
  <c r="S235" i="22"/>
  <c r="R235" i="22"/>
  <c r="Q235" i="22"/>
  <c r="P235" i="22"/>
  <c r="O235" i="22"/>
  <c r="N235" i="22"/>
  <c r="M235" i="22"/>
  <c r="L235" i="22"/>
  <c r="U234" i="22"/>
  <c r="T234" i="22"/>
  <c r="S234" i="22"/>
  <c r="R234" i="22"/>
  <c r="Q234" i="22"/>
  <c r="P234" i="22"/>
  <c r="O234" i="22"/>
  <c r="N234" i="22"/>
  <c r="M234" i="22"/>
  <c r="L234" i="22"/>
  <c r="U233" i="22"/>
  <c r="T233" i="22"/>
  <c r="S233" i="22"/>
  <c r="R233" i="22"/>
  <c r="Q233" i="22"/>
  <c r="P233" i="22"/>
  <c r="O233" i="22"/>
  <c r="N233" i="22"/>
  <c r="M233" i="22"/>
  <c r="L233" i="22"/>
  <c r="U232" i="22"/>
  <c r="T232" i="22"/>
  <c r="S232" i="22"/>
  <c r="R232" i="22"/>
  <c r="Q232" i="22"/>
  <c r="P232" i="22"/>
  <c r="O232" i="22"/>
  <c r="N232" i="22"/>
  <c r="M232" i="22"/>
  <c r="L232" i="22"/>
  <c r="U231" i="22"/>
  <c r="T231" i="22"/>
  <c r="S231" i="22"/>
  <c r="R231" i="22"/>
  <c r="Q231" i="22"/>
  <c r="P231" i="22"/>
  <c r="O231" i="22"/>
  <c r="N231" i="22"/>
  <c r="M231" i="22"/>
  <c r="L231" i="22"/>
  <c r="U230" i="22"/>
  <c r="T230" i="22"/>
  <c r="S230" i="22"/>
  <c r="R230" i="22"/>
  <c r="Q230" i="22"/>
  <c r="P230" i="22"/>
  <c r="O230" i="22"/>
  <c r="N230" i="22"/>
  <c r="M230" i="22"/>
  <c r="L230" i="22"/>
  <c r="U229" i="22"/>
  <c r="T229" i="22"/>
  <c r="S229" i="22"/>
  <c r="R229" i="22"/>
  <c r="Q229" i="22"/>
  <c r="P229" i="22"/>
  <c r="O229" i="22"/>
  <c r="N229" i="22"/>
  <c r="M229" i="22"/>
  <c r="L229" i="22"/>
  <c r="U228" i="22"/>
  <c r="T228" i="22"/>
  <c r="S228" i="22"/>
  <c r="R228" i="22"/>
  <c r="Q228" i="22"/>
  <c r="P228" i="22"/>
  <c r="O228" i="22"/>
  <c r="N228" i="22"/>
  <c r="M228" i="22"/>
  <c r="L228" i="22"/>
  <c r="U227" i="22"/>
  <c r="T227" i="22"/>
  <c r="S227" i="22"/>
  <c r="R227" i="22"/>
  <c r="Q227" i="22"/>
  <c r="P227" i="22"/>
  <c r="O227" i="22"/>
  <c r="N227" i="22"/>
  <c r="M227" i="22"/>
  <c r="L227" i="22"/>
  <c r="U226" i="22"/>
  <c r="T226" i="22"/>
  <c r="S226" i="22"/>
  <c r="R226" i="22"/>
  <c r="Q226" i="22"/>
  <c r="P226" i="22"/>
  <c r="O226" i="22"/>
  <c r="N226" i="22"/>
  <c r="M226" i="22"/>
  <c r="L226" i="22"/>
  <c r="U225" i="22"/>
  <c r="T225" i="22"/>
  <c r="S225" i="22"/>
  <c r="R225" i="22"/>
  <c r="Q225" i="22"/>
  <c r="P225" i="22"/>
  <c r="O225" i="22"/>
  <c r="N225" i="22"/>
  <c r="M225" i="22"/>
  <c r="L225" i="22"/>
  <c r="U224" i="22"/>
  <c r="T224" i="22"/>
  <c r="S224" i="22"/>
  <c r="R224" i="22"/>
  <c r="Q224" i="22"/>
  <c r="P224" i="22"/>
  <c r="O224" i="22"/>
  <c r="N224" i="22"/>
  <c r="M224" i="22"/>
  <c r="L224" i="22"/>
  <c r="U223" i="22"/>
  <c r="T223" i="22"/>
  <c r="S223" i="22"/>
  <c r="R223" i="22"/>
  <c r="Q223" i="22"/>
  <c r="P223" i="22"/>
  <c r="O223" i="22"/>
  <c r="N223" i="22"/>
  <c r="M223" i="22"/>
  <c r="L223" i="22"/>
  <c r="U220" i="22"/>
  <c r="T220" i="22"/>
  <c r="S220" i="22"/>
  <c r="R220" i="22"/>
  <c r="Q220" i="22"/>
  <c r="P220" i="22"/>
  <c r="O220" i="22"/>
  <c r="N220" i="22"/>
  <c r="M220" i="22"/>
  <c r="L220" i="22"/>
  <c r="U219" i="22"/>
  <c r="T219" i="22"/>
  <c r="S219" i="22"/>
  <c r="R219" i="22"/>
  <c r="Q219" i="22"/>
  <c r="P219" i="22"/>
  <c r="O219" i="22"/>
  <c r="N219" i="22"/>
  <c r="M219" i="22"/>
  <c r="L219" i="22"/>
  <c r="U218" i="22"/>
  <c r="T218" i="22"/>
  <c r="S218" i="22"/>
  <c r="R218" i="22"/>
  <c r="Q218" i="22"/>
  <c r="P218" i="22"/>
  <c r="O218" i="22"/>
  <c r="N218" i="22"/>
  <c r="M218" i="22"/>
  <c r="L218" i="22"/>
  <c r="U217" i="22"/>
  <c r="T217" i="22"/>
  <c r="S217" i="22"/>
  <c r="R217" i="22"/>
  <c r="Q217" i="22"/>
  <c r="P217" i="22"/>
  <c r="O217" i="22"/>
  <c r="N217" i="22"/>
  <c r="M217" i="22"/>
  <c r="L217" i="22"/>
  <c r="U216" i="22"/>
  <c r="T216" i="22"/>
  <c r="S216" i="22"/>
  <c r="R216" i="22"/>
  <c r="Q216" i="22"/>
  <c r="P216" i="22"/>
  <c r="O216" i="22"/>
  <c r="N216" i="22"/>
  <c r="M216" i="22"/>
  <c r="L216" i="22"/>
  <c r="U215" i="22"/>
  <c r="T215" i="22"/>
  <c r="S215" i="22"/>
  <c r="R215" i="22"/>
  <c r="Q215" i="22"/>
  <c r="P215" i="22"/>
  <c r="O215" i="22"/>
  <c r="N215" i="22"/>
  <c r="M215" i="22"/>
  <c r="L215" i="22"/>
  <c r="U214" i="22"/>
  <c r="T214" i="22"/>
  <c r="S214" i="22"/>
  <c r="R214" i="22"/>
  <c r="Q214" i="22"/>
  <c r="P214" i="22"/>
  <c r="O214" i="22"/>
  <c r="N214" i="22"/>
  <c r="M214" i="22"/>
  <c r="L214" i="22"/>
  <c r="U213" i="22"/>
  <c r="T213" i="22"/>
  <c r="S213" i="22"/>
  <c r="R213" i="22"/>
  <c r="Q213" i="22"/>
  <c r="P213" i="22"/>
  <c r="O213" i="22"/>
  <c r="N213" i="22"/>
  <c r="M213" i="22"/>
  <c r="L213" i="22"/>
  <c r="U212" i="22"/>
  <c r="T212" i="22"/>
  <c r="S212" i="22"/>
  <c r="R212" i="22"/>
  <c r="Q212" i="22"/>
  <c r="P212" i="22"/>
  <c r="O212" i="22"/>
  <c r="N212" i="22"/>
  <c r="M212" i="22"/>
  <c r="L212" i="22"/>
  <c r="L186" i="22"/>
  <c r="U209" i="22"/>
  <c r="T209" i="22"/>
  <c r="S209" i="22"/>
  <c r="R209" i="22"/>
  <c r="Q209" i="22"/>
  <c r="P209" i="22"/>
  <c r="O209" i="22"/>
  <c r="N209" i="22"/>
  <c r="M209" i="22"/>
  <c r="L209" i="22"/>
  <c r="U208" i="22"/>
  <c r="T208" i="22"/>
  <c r="S208" i="22"/>
  <c r="R208" i="22"/>
  <c r="Q208" i="22"/>
  <c r="P208" i="22"/>
  <c r="O208" i="22"/>
  <c r="N208" i="22"/>
  <c r="M208" i="22"/>
  <c r="L208" i="22"/>
  <c r="U207" i="22"/>
  <c r="T207" i="22"/>
  <c r="S207" i="22"/>
  <c r="R207" i="22"/>
  <c r="Q207" i="22"/>
  <c r="P207" i="22"/>
  <c r="O207" i="22"/>
  <c r="N207" i="22"/>
  <c r="M207" i="22"/>
  <c r="L207" i="22"/>
  <c r="U206" i="22"/>
  <c r="T206" i="22"/>
  <c r="S206" i="22"/>
  <c r="R206" i="22"/>
  <c r="Q206" i="22"/>
  <c r="P206" i="22"/>
  <c r="O206" i="22"/>
  <c r="N206" i="22"/>
  <c r="M206" i="22"/>
  <c r="L206" i="22"/>
  <c r="U205" i="22"/>
  <c r="T205" i="22"/>
  <c r="S205" i="22"/>
  <c r="R205" i="22"/>
  <c r="Q205" i="22"/>
  <c r="P205" i="22"/>
  <c r="O205" i="22"/>
  <c r="N205" i="22"/>
  <c r="M205" i="22"/>
  <c r="L205" i="22"/>
  <c r="U204" i="22"/>
  <c r="T204" i="22"/>
  <c r="S204" i="22"/>
  <c r="R204" i="22"/>
  <c r="Q204" i="22"/>
  <c r="P204" i="22"/>
  <c r="O204" i="22"/>
  <c r="N204" i="22"/>
  <c r="M204" i="22"/>
  <c r="L204" i="22"/>
  <c r="U203" i="22"/>
  <c r="T203" i="22"/>
  <c r="S203" i="22"/>
  <c r="R203" i="22"/>
  <c r="Q203" i="22"/>
  <c r="P203" i="22"/>
  <c r="O203" i="22"/>
  <c r="N203" i="22"/>
  <c r="M203" i="22"/>
  <c r="L203" i="22"/>
  <c r="U202" i="22"/>
  <c r="T202" i="22"/>
  <c r="S202" i="22"/>
  <c r="R202" i="22"/>
  <c r="Q202" i="22"/>
  <c r="P202" i="22"/>
  <c r="O202" i="22"/>
  <c r="N202" i="22"/>
  <c r="M202" i="22"/>
  <c r="L202" i="22"/>
  <c r="U201" i="22"/>
  <c r="T201" i="22"/>
  <c r="S201" i="22"/>
  <c r="R201" i="22"/>
  <c r="Q201" i="22"/>
  <c r="P201" i="22"/>
  <c r="O201" i="22"/>
  <c r="N201" i="22"/>
  <c r="M201" i="22"/>
  <c r="L201" i="22"/>
  <c r="U200" i="22"/>
  <c r="T200" i="22"/>
  <c r="S200" i="22"/>
  <c r="R200" i="22"/>
  <c r="Q200" i="22"/>
  <c r="P200" i="22"/>
  <c r="O200" i="22"/>
  <c r="N200" i="22"/>
  <c r="M200" i="22"/>
  <c r="L200" i="22"/>
  <c r="U199" i="22"/>
  <c r="T199" i="22"/>
  <c r="S199" i="22"/>
  <c r="R199" i="22"/>
  <c r="Q199" i="22"/>
  <c r="P199" i="22"/>
  <c r="O199" i="22"/>
  <c r="N199" i="22"/>
  <c r="M199" i="22"/>
  <c r="L199" i="22"/>
  <c r="U198" i="22"/>
  <c r="T198" i="22"/>
  <c r="S198" i="22"/>
  <c r="R198" i="22"/>
  <c r="Q198" i="22"/>
  <c r="P198" i="22"/>
  <c r="O198" i="22"/>
  <c r="N198" i="22"/>
  <c r="M198" i="22"/>
  <c r="L198" i="22"/>
  <c r="U197" i="22"/>
  <c r="T197" i="22"/>
  <c r="S197" i="22"/>
  <c r="R197" i="22"/>
  <c r="Q197" i="22"/>
  <c r="P197" i="22"/>
  <c r="O197" i="22"/>
  <c r="N197" i="22"/>
  <c r="M197" i="22"/>
  <c r="L197" i="22"/>
  <c r="U194" i="22"/>
  <c r="T194" i="22"/>
  <c r="S194" i="22"/>
  <c r="R194" i="22"/>
  <c r="Q194" i="22"/>
  <c r="P194" i="22"/>
  <c r="O194" i="22"/>
  <c r="N194" i="22"/>
  <c r="M194" i="22"/>
  <c r="L194" i="22"/>
  <c r="U193" i="22"/>
  <c r="T193" i="22"/>
  <c r="S193" i="22"/>
  <c r="R193" i="22"/>
  <c r="P193" i="22"/>
  <c r="O193" i="22"/>
  <c r="N193" i="22"/>
  <c r="M193" i="22"/>
  <c r="U192" i="22"/>
  <c r="T192" i="22"/>
  <c r="S192" i="22"/>
  <c r="R192" i="22"/>
  <c r="Q192" i="22"/>
  <c r="P192" i="22"/>
  <c r="O192" i="22"/>
  <c r="N192" i="22"/>
  <c r="M192" i="22"/>
  <c r="L192" i="22"/>
  <c r="U191" i="22"/>
  <c r="T191" i="22"/>
  <c r="S191" i="22"/>
  <c r="R191" i="22"/>
  <c r="Q191" i="22"/>
  <c r="P191" i="22"/>
  <c r="O191" i="22"/>
  <c r="N191" i="22"/>
  <c r="M191" i="22"/>
  <c r="L191" i="22"/>
  <c r="U190" i="22"/>
  <c r="T190" i="22"/>
  <c r="S190" i="22"/>
  <c r="R190" i="22"/>
  <c r="Q190" i="22"/>
  <c r="P190" i="22"/>
  <c r="O190" i="22"/>
  <c r="N190" i="22"/>
  <c r="M190" i="22"/>
  <c r="L190" i="22"/>
  <c r="U188" i="22"/>
  <c r="T188" i="22"/>
  <c r="S188" i="22"/>
  <c r="R188" i="22"/>
  <c r="Q188" i="22"/>
  <c r="P188" i="22"/>
  <c r="O188" i="22"/>
  <c r="N188" i="22"/>
  <c r="M188" i="22"/>
  <c r="U187" i="22"/>
  <c r="T187" i="22"/>
  <c r="S187" i="22"/>
  <c r="R187" i="22"/>
  <c r="Q187" i="22"/>
  <c r="P187" i="22"/>
  <c r="O187" i="22"/>
  <c r="N187" i="22"/>
  <c r="M187" i="22"/>
  <c r="L187" i="22"/>
  <c r="U186" i="22"/>
  <c r="T186" i="22"/>
  <c r="S186" i="22"/>
  <c r="R186" i="22"/>
  <c r="Q186" i="22"/>
  <c r="P186" i="22"/>
  <c r="O186" i="22"/>
  <c r="N186" i="22"/>
  <c r="M186" i="22"/>
  <c r="U183" i="22"/>
  <c r="T183" i="22"/>
  <c r="S183" i="22"/>
  <c r="R183" i="22"/>
  <c r="Q183" i="22"/>
  <c r="P183" i="22"/>
  <c r="O183" i="22"/>
  <c r="N183" i="22"/>
  <c r="M183" i="22"/>
  <c r="L183" i="22"/>
  <c r="U182" i="22"/>
  <c r="T182" i="22"/>
  <c r="S182" i="22"/>
  <c r="R182" i="22"/>
  <c r="Q182" i="22"/>
  <c r="P182" i="22"/>
  <c r="O182" i="22"/>
  <c r="N182" i="22"/>
  <c r="M182" i="22"/>
  <c r="L182" i="22"/>
  <c r="U181" i="22"/>
  <c r="T181" i="22"/>
  <c r="S181" i="22"/>
  <c r="R181" i="22"/>
  <c r="Q181" i="22"/>
  <c r="P181" i="22"/>
  <c r="O181" i="22"/>
  <c r="N181" i="22"/>
  <c r="M181" i="22"/>
  <c r="L181" i="22"/>
  <c r="U180" i="22"/>
  <c r="T180" i="22"/>
  <c r="S180" i="22"/>
  <c r="R180" i="22"/>
  <c r="Q180" i="22"/>
  <c r="P180" i="22"/>
  <c r="O180" i="22"/>
  <c r="N180" i="22"/>
  <c r="M180" i="22"/>
  <c r="L180" i="22"/>
  <c r="U179" i="22"/>
  <c r="T179" i="22"/>
  <c r="S179" i="22"/>
  <c r="R179" i="22"/>
  <c r="Q179" i="22"/>
  <c r="P179" i="22"/>
  <c r="O179" i="22"/>
  <c r="N179" i="22"/>
  <c r="M179" i="22"/>
  <c r="L179" i="22"/>
  <c r="U178" i="22"/>
  <c r="T178" i="22"/>
  <c r="S178" i="22"/>
  <c r="R178" i="22"/>
  <c r="Q178" i="22"/>
  <c r="P178" i="22"/>
  <c r="O178" i="22"/>
  <c r="N178" i="22"/>
  <c r="M178" i="22"/>
  <c r="L178" i="22"/>
  <c r="U175" i="22"/>
  <c r="T175" i="22"/>
  <c r="S175" i="22"/>
  <c r="R175" i="22"/>
  <c r="Q175" i="22"/>
  <c r="P175" i="22"/>
  <c r="O175" i="22"/>
  <c r="N175" i="22"/>
  <c r="M175" i="22"/>
  <c r="L175" i="22"/>
  <c r="U174" i="22"/>
  <c r="T174" i="22"/>
  <c r="S174" i="22"/>
  <c r="R174" i="22"/>
  <c r="Q174" i="22"/>
  <c r="P174" i="22"/>
  <c r="O174" i="22"/>
  <c r="N174" i="22"/>
  <c r="M174" i="22"/>
  <c r="L174" i="22"/>
  <c r="U173" i="22"/>
  <c r="T173" i="22"/>
  <c r="S173" i="22"/>
  <c r="R173" i="22"/>
  <c r="Q173" i="22"/>
  <c r="P173" i="22"/>
  <c r="O173" i="22"/>
  <c r="N173" i="22"/>
  <c r="M173" i="22"/>
  <c r="L173" i="22"/>
  <c r="U172" i="22"/>
  <c r="T172" i="22"/>
  <c r="S172" i="22"/>
  <c r="R172" i="22"/>
  <c r="Q172" i="22"/>
  <c r="P172" i="22"/>
  <c r="O172" i="22"/>
  <c r="N172" i="22"/>
  <c r="M172" i="22"/>
  <c r="L172" i="22"/>
  <c r="U171" i="22"/>
  <c r="T171" i="22"/>
  <c r="S171" i="22"/>
  <c r="R171" i="22"/>
  <c r="Q171" i="22"/>
  <c r="P171" i="22"/>
  <c r="O171" i="22"/>
  <c r="N171" i="22"/>
  <c r="M171" i="22"/>
  <c r="L171" i="22"/>
  <c r="U170" i="22"/>
  <c r="T170" i="22"/>
  <c r="S170" i="22"/>
  <c r="R170" i="22"/>
  <c r="Q170" i="22"/>
  <c r="P170" i="22"/>
  <c r="O170" i="22"/>
  <c r="N170" i="22"/>
  <c r="M170" i="22"/>
  <c r="L170" i="22"/>
  <c r="U169" i="22"/>
  <c r="T169" i="22"/>
  <c r="S169" i="22"/>
  <c r="R169" i="22"/>
  <c r="Q169" i="22"/>
  <c r="P169" i="22"/>
  <c r="O169" i="22"/>
  <c r="N169" i="22"/>
  <c r="M169" i="22"/>
  <c r="L169" i="22"/>
  <c r="U168" i="22"/>
  <c r="T168" i="22"/>
  <c r="S168" i="22"/>
  <c r="R168" i="22"/>
  <c r="Q168" i="22"/>
  <c r="P168" i="22"/>
  <c r="O168" i="22"/>
  <c r="N168" i="22"/>
  <c r="M168" i="22"/>
  <c r="L168" i="22"/>
  <c r="U167" i="22"/>
  <c r="T167" i="22"/>
  <c r="S167" i="22"/>
  <c r="R167" i="22"/>
  <c r="Q167" i="22"/>
  <c r="P167" i="22"/>
  <c r="O167" i="22"/>
  <c r="N167" i="22"/>
  <c r="M167" i="22"/>
  <c r="L167" i="22"/>
  <c r="U166" i="22"/>
  <c r="T166" i="22"/>
  <c r="S166" i="22"/>
  <c r="R166" i="22"/>
  <c r="Q166" i="22"/>
  <c r="P166" i="22"/>
  <c r="O166" i="22"/>
  <c r="N166" i="22"/>
  <c r="M166" i="22"/>
  <c r="L166" i="22"/>
  <c r="U165" i="22"/>
  <c r="T165" i="22"/>
  <c r="S165" i="22"/>
  <c r="R165" i="22"/>
  <c r="Q165" i="22"/>
  <c r="P165" i="22"/>
  <c r="O165" i="22"/>
  <c r="N165" i="22"/>
  <c r="M165" i="22"/>
  <c r="L165" i="22"/>
  <c r="U164" i="22"/>
  <c r="T164" i="22"/>
  <c r="S164" i="22"/>
  <c r="R164" i="22"/>
  <c r="Q164" i="22"/>
  <c r="P164" i="22"/>
  <c r="O164" i="22"/>
  <c r="N164" i="22"/>
  <c r="M164" i="22"/>
  <c r="L164" i="22"/>
  <c r="U163" i="22"/>
  <c r="T163" i="22"/>
  <c r="S163" i="22"/>
  <c r="R163" i="22"/>
  <c r="Q163" i="22"/>
  <c r="P163" i="22"/>
  <c r="O163" i="22"/>
  <c r="N163" i="22"/>
  <c r="M163" i="22"/>
  <c r="L163" i="22"/>
  <c r="U162" i="22"/>
  <c r="T162" i="22"/>
  <c r="S162" i="22"/>
  <c r="R162" i="22"/>
  <c r="Q162" i="22"/>
  <c r="P162" i="22"/>
  <c r="O162" i="22"/>
  <c r="N162" i="22"/>
  <c r="M162" i="22"/>
  <c r="L162" i="22"/>
  <c r="U161" i="22"/>
  <c r="T161" i="22"/>
  <c r="S161" i="22"/>
  <c r="R161" i="22"/>
  <c r="Q161" i="22"/>
  <c r="P161" i="22"/>
  <c r="O161" i="22"/>
  <c r="N161" i="22"/>
  <c r="M161" i="22"/>
  <c r="L161" i="22"/>
  <c r="U160" i="22"/>
  <c r="T160" i="22"/>
  <c r="S160" i="22"/>
  <c r="R160" i="22"/>
  <c r="Q160" i="22"/>
  <c r="P160" i="22"/>
  <c r="O160" i="22"/>
  <c r="N160" i="22"/>
  <c r="M160" i="22"/>
  <c r="L160" i="22"/>
  <c r="U159" i="22"/>
  <c r="T159" i="22"/>
  <c r="S159" i="22"/>
  <c r="R159" i="22"/>
  <c r="Q159" i="22"/>
  <c r="P159" i="22"/>
  <c r="O159" i="22"/>
  <c r="N159" i="22"/>
  <c r="M159" i="22"/>
  <c r="L159" i="22"/>
  <c r="U158" i="22"/>
  <c r="T158" i="22"/>
  <c r="S158" i="22"/>
  <c r="R158" i="22"/>
  <c r="Q158" i="22"/>
  <c r="P158" i="22"/>
  <c r="O158" i="22"/>
  <c r="N158" i="22"/>
  <c r="M158" i="22"/>
  <c r="L158" i="22"/>
  <c r="U157" i="22"/>
  <c r="T157" i="22"/>
  <c r="S157" i="22"/>
  <c r="R157" i="22"/>
  <c r="Q157" i="22"/>
  <c r="P157" i="22"/>
  <c r="O157" i="22"/>
  <c r="N157" i="22"/>
  <c r="M157" i="22"/>
  <c r="L157" i="22"/>
  <c r="U156" i="22"/>
  <c r="T156" i="22"/>
  <c r="S156" i="22"/>
  <c r="R156" i="22"/>
  <c r="Q156" i="22"/>
  <c r="P156" i="22"/>
  <c r="O156" i="22"/>
  <c r="N156" i="22"/>
  <c r="M156" i="22"/>
  <c r="L156" i="22"/>
  <c r="U155" i="22"/>
  <c r="T155" i="22"/>
  <c r="S155" i="22"/>
  <c r="R155" i="22"/>
  <c r="Q155" i="22"/>
  <c r="P155" i="22"/>
  <c r="O155" i="22"/>
  <c r="N155" i="22"/>
  <c r="M155" i="22"/>
  <c r="L155" i="22"/>
  <c r="U154" i="22"/>
  <c r="T154" i="22"/>
  <c r="S154" i="22"/>
  <c r="R154" i="22"/>
  <c r="Q154" i="22"/>
  <c r="P154" i="22"/>
  <c r="O154" i="22"/>
  <c r="N154" i="22"/>
  <c r="M154" i="22"/>
  <c r="L154" i="22"/>
  <c r="U153" i="22"/>
  <c r="T153" i="22"/>
  <c r="S153" i="22"/>
  <c r="R153" i="22"/>
  <c r="Q153" i="22"/>
  <c r="P153" i="22"/>
  <c r="O153" i="22"/>
  <c r="N153" i="22"/>
  <c r="M153" i="22"/>
  <c r="L153" i="22"/>
  <c r="U150" i="22"/>
  <c r="T150" i="22"/>
  <c r="S150" i="22"/>
  <c r="R150" i="22"/>
  <c r="Q150" i="22"/>
  <c r="P150" i="22"/>
  <c r="O150" i="22"/>
  <c r="N150" i="22"/>
  <c r="M150" i="22"/>
  <c r="L150" i="22"/>
  <c r="U149" i="22"/>
  <c r="T149" i="22"/>
  <c r="S149" i="22"/>
  <c r="R149" i="22"/>
  <c r="Q149" i="22"/>
  <c r="P149" i="22"/>
  <c r="O149" i="22"/>
  <c r="N149" i="22"/>
  <c r="M149" i="22"/>
  <c r="L149" i="22"/>
  <c r="U148" i="22"/>
  <c r="T148" i="22"/>
  <c r="S148" i="22"/>
  <c r="R148" i="22"/>
  <c r="Q148" i="22"/>
  <c r="P148" i="22"/>
  <c r="O148" i="22"/>
  <c r="N148" i="22"/>
  <c r="M148" i="22"/>
  <c r="L148" i="22"/>
  <c r="U147" i="22"/>
  <c r="T147" i="22"/>
  <c r="S147" i="22"/>
  <c r="R147" i="22"/>
  <c r="Q147" i="22"/>
  <c r="P147" i="22"/>
  <c r="O147" i="22"/>
  <c r="N147" i="22"/>
  <c r="M147" i="22"/>
  <c r="L147" i="22"/>
  <c r="U146" i="22"/>
  <c r="T146" i="22"/>
  <c r="S146" i="22"/>
  <c r="R146" i="22"/>
  <c r="Q146" i="22"/>
  <c r="P146" i="22"/>
  <c r="O146" i="22"/>
  <c r="N146" i="22"/>
  <c r="M146" i="22"/>
  <c r="L146" i="22"/>
  <c r="U145" i="22"/>
  <c r="T145" i="22"/>
  <c r="S145" i="22"/>
  <c r="R145" i="22"/>
  <c r="Q145" i="22"/>
  <c r="P145" i="22"/>
  <c r="O145" i="22"/>
  <c r="N145" i="22"/>
  <c r="M145" i="22"/>
  <c r="L145" i="22"/>
  <c r="U144" i="22"/>
  <c r="T144" i="22"/>
  <c r="S144" i="22"/>
  <c r="R144" i="22"/>
  <c r="Q144" i="22"/>
  <c r="P144" i="22"/>
  <c r="O144" i="22"/>
  <c r="N144" i="22"/>
  <c r="M144" i="22"/>
  <c r="L144" i="22"/>
  <c r="U143" i="22"/>
  <c r="T143" i="22"/>
  <c r="S143" i="22"/>
  <c r="R143" i="22"/>
  <c r="Q143" i="22"/>
  <c r="P143" i="22"/>
  <c r="O143" i="22"/>
  <c r="N143" i="22"/>
  <c r="M143" i="22"/>
  <c r="L143" i="22"/>
  <c r="U142" i="22"/>
  <c r="T142" i="22"/>
  <c r="S142" i="22"/>
  <c r="R142" i="22"/>
  <c r="Q142" i="22"/>
  <c r="P142" i="22"/>
  <c r="O142" i="22"/>
  <c r="N142" i="22"/>
  <c r="M142" i="22"/>
  <c r="L142" i="22"/>
  <c r="U141" i="22"/>
  <c r="T141" i="22"/>
  <c r="S141" i="22"/>
  <c r="R141" i="22"/>
  <c r="Q141" i="22"/>
  <c r="P141" i="22"/>
  <c r="O141" i="22"/>
  <c r="N141" i="22"/>
  <c r="M141" i="22"/>
  <c r="L141" i="22"/>
  <c r="U140" i="22"/>
  <c r="T140" i="22"/>
  <c r="S140" i="22"/>
  <c r="R140" i="22"/>
  <c r="Q140" i="22"/>
  <c r="P140" i="22"/>
  <c r="O140" i="22"/>
  <c r="N140" i="22"/>
  <c r="M140" i="22"/>
  <c r="L140" i="22"/>
  <c r="U137" i="22"/>
  <c r="T137" i="22"/>
  <c r="S137" i="22"/>
  <c r="R137" i="22"/>
  <c r="Q137" i="22"/>
  <c r="P137" i="22"/>
  <c r="O137" i="22"/>
  <c r="N137" i="22"/>
  <c r="M137" i="22"/>
  <c r="L137" i="22"/>
  <c r="U136" i="22"/>
  <c r="T136" i="22"/>
  <c r="S136" i="22"/>
  <c r="R136" i="22"/>
  <c r="Q136" i="22"/>
  <c r="P136" i="22"/>
  <c r="O136" i="22"/>
  <c r="N136" i="22"/>
  <c r="M136" i="22"/>
  <c r="L136" i="22"/>
  <c r="U135" i="22"/>
  <c r="T135" i="22"/>
  <c r="S135" i="22"/>
  <c r="R135" i="22"/>
  <c r="Q135" i="22"/>
  <c r="P135" i="22"/>
  <c r="O135" i="22"/>
  <c r="N135" i="22"/>
  <c r="M135" i="22"/>
  <c r="L135" i="22"/>
  <c r="U134" i="22"/>
  <c r="T134" i="22"/>
  <c r="S134" i="22"/>
  <c r="R134" i="22"/>
  <c r="Q134" i="22"/>
  <c r="P134" i="22"/>
  <c r="O134" i="22"/>
  <c r="N134" i="22"/>
  <c r="M134" i="22"/>
  <c r="L134" i="22"/>
  <c r="U133" i="22"/>
  <c r="T133" i="22"/>
  <c r="S133" i="22"/>
  <c r="R133" i="22"/>
  <c r="Q133" i="22"/>
  <c r="P133" i="22"/>
  <c r="O133" i="22"/>
  <c r="N133" i="22"/>
  <c r="M133" i="22"/>
  <c r="L133" i="22"/>
  <c r="U132" i="22"/>
  <c r="T132" i="22"/>
  <c r="S132" i="22"/>
  <c r="R132" i="22"/>
  <c r="Q132" i="22"/>
  <c r="P132" i="22"/>
  <c r="O132" i="22"/>
  <c r="N132" i="22"/>
  <c r="M132" i="22"/>
  <c r="L132" i="22"/>
  <c r="U131" i="22"/>
  <c r="T131" i="22"/>
  <c r="S131" i="22"/>
  <c r="R131" i="22"/>
  <c r="Q131" i="22"/>
  <c r="P131" i="22"/>
  <c r="O131" i="22"/>
  <c r="N131" i="22"/>
  <c r="M131" i="22"/>
  <c r="L131" i="22"/>
  <c r="U130" i="22"/>
  <c r="T130" i="22"/>
  <c r="S130" i="22"/>
  <c r="R130" i="22"/>
  <c r="Q130" i="22"/>
  <c r="P130" i="22"/>
  <c r="O130" i="22"/>
  <c r="N130" i="22"/>
  <c r="M130" i="22"/>
  <c r="L130" i="22"/>
  <c r="U129" i="22"/>
  <c r="T129" i="22"/>
  <c r="S129" i="22"/>
  <c r="R129" i="22"/>
  <c r="Q129" i="22"/>
  <c r="P129" i="22"/>
  <c r="O129" i="22"/>
  <c r="N129" i="22"/>
  <c r="M129" i="22"/>
  <c r="L129" i="22"/>
  <c r="U128" i="22"/>
  <c r="T128" i="22"/>
  <c r="S128" i="22"/>
  <c r="R128" i="22"/>
  <c r="Q128" i="22"/>
  <c r="P128" i="22"/>
  <c r="O128" i="22"/>
  <c r="N128" i="22"/>
  <c r="M128" i="22"/>
  <c r="L128" i="22"/>
  <c r="U127" i="22"/>
  <c r="T127" i="22"/>
  <c r="S127" i="22"/>
  <c r="R127" i="22"/>
  <c r="Q127" i="22"/>
  <c r="P127" i="22"/>
  <c r="O127" i="22"/>
  <c r="N127" i="22"/>
  <c r="M127" i="22"/>
  <c r="L127" i="22"/>
  <c r="U126" i="22"/>
  <c r="T126" i="22"/>
  <c r="S126" i="22"/>
  <c r="R126" i="22"/>
  <c r="Q126" i="22"/>
  <c r="P126" i="22"/>
  <c r="O126" i="22"/>
  <c r="N126" i="22"/>
  <c r="M126" i="22"/>
  <c r="L126" i="22"/>
  <c r="U125" i="22"/>
  <c r="T125" i="22"/>
  <c r="S125" i="22"/>
  <c r="R125" i="22"/>
  <c r="Q125" i="22"/>
  <c r="P125" i="22"/>
  <c r="O125" i="22"/>
  <c r="N125" i="22"/>
  <c r="M125" i="22"/>
  <c r="L125" i="22"/>
  <c r="U124" i="22"/>
  <c r="T124" i="22"/>
  <c r="S124" i="22"/>
  <c r="R124" i="22"/>
  <c r="Q124" i="22"/>
  <c r="P124" i="22"/>
  <c r="O124" i="22"/>
  <c r="N124" i="22"/>
  <c r="M124" i="22"/>
  <c r="L124" i="22"/>
  <c r="U123" i="22"/>
  <c r="T123" i="22"/>
  <c r="S123" i="22"/>
  <c r="R123" i="22"/>
  <c r="Q123" i="22"/>
  <c r="P123" i="22"/>
  <c r="O123" i="22"/>
  <c r="N123" i="22"/>
  <c r="M123" i="22"/>
  <c r="L123" i="22"/>
  <c r="U122" i="22"/>
  <c r="T122" i="22"/>
  <c r="S122" i="22"/>
  <c r="R122" i="22"/>
  <c r="Q122" i="22"/>
  <c r="P122" i="22"/>
  <c r="O122" i="22"/>
  <c r="N122" i="22"/>
  <c r="M122" i="22"/>
  <c r="L122" i="22"/>
  <c r="U121" i="22"/>
  <c r="T121" i="22"/>
  <c r="S121" i="22"/>
  <c r="R121" i="22"/>
  <c r="Q121" i="22"/>
  <c r="P121" i="22"/>
  <c r="O121" i="22"/>
  <c r="N121" i="22"/>
  <c r="M121" i="22"/>
  <c r="L121" i="22"/>
  <c r="U120" i="22"/>
  <c r="T120" i="22"/>
  <c r="S120" i="22"/>
  <c r="R120" i="22"/>
  <c r="Q120" i="22"/>
  <c r="P120" i="22"/>
  <c r="O120" i="22"/>
  <c r="N120" i="22"/>
  <c r="M120" i="22"/>
  <c r="L120" i="22"/>
  <c r="U119" i="22"/>
  <c r="T119" i="22"/>
  <c r="S119" i="22"/>
  <c r="R119" i="22"/>
  <c r="Q119" i="22"/>
  <c r="P119" i="22"/>
  <c r="O119" i="22"/>
  <c r="N119" i="22"/>
  <c r="M119" i="22"/>
  <c r="L119" i="22"/>
  <c r="U118" i="22"/>
  <c r="T118" i="22"/>
  <c r="S118" i="22"/>
  <c r="R118" i="22"/>
  <c r="Q118" i="22"/>
  <c r="P118" i="22"/>
  <c r="O118" i="22"/>
  <c r="N118" i="22"/>
  <c r="M118" i="22"/>
  <c r="L118" i="22"/>
  <c r="U117" i="22"/>
  <c r="T117" i="22"/>
  <c r="S117" i="22"/>
  <c r="R117" i="22"/>
  <c r="Q117" i="22"/>
  <c r="P117" i="22"/>
  <c r="O117" i="22"/>
  <c r="N117" i="22"/>
  <c r="M117" i="22"/>
  <c r="L117" i="22"/>
  <c r="U116" i="22"/>
  <c r="T116" i="22"/>
  <c r="S116" i="22"/>
  <c r="R116" i="22"/>
  <c r="Q116" i="22"/>
  <c r="P116" i="22"/>
  <c r="O116" i="22"/>
  <c r="N116" i="22"/>
  <c r="M116" i="22"/>
  <c r="L116" i="22"/>
  <c r="U115" i="22"/>
  <c r="T115" i="22"/>
  <c r="S115" i="22"/>
  <c r="R115" i="22"/>
  <c r="Q115" i="22"/>
  <c r="P115" i="22"/>
  <c r="O115" i="22"/>
  <c r="N115" i="22"/>
  <c r="M115" i="22"/>
  <c r="L115" i="22"/>
  <c r="U114" i="22"/>
  <c r="T114" i="22"/>
  <c r="S114" i="22"/>
  <c r="R114" i="22"/>
  <c r="Q114" i="22"/>
  <c r="P114" i="22"/>
  <c r="O114" i="22"/>
  <c r="N114" i="22"/>
  <c r="M114" i="22"/>
  <c r="L114" i="22"/>
  <c r="U113" i="22"/>
  <c r="T113" i="22"/>
  <c r="S113" i="22"/>
  <c r="R113" i="22"/>
  <c r="Q113" i="22"/>
  <c r="P113" i="22"/>
  <c r="O113" i="22"/>
  <c r="N113" i="22"/>
  <c r="M113" i="22"/>
  <c r="L113" i="22"/>
  <c r="U112" i="22"/>
  <c r="T112" i="22"/>
  <c r="S112" i="22"/>
  <c r="R112" i="22"/>
  <c r="Q112" i="22"/>
  <c r="P112" i="22"/>
  <c r="O112" i="22"/>
  <c r="N112" i="22"/>
  <c r="M112" i="22"/>
  <c r="L112" i="22"/>
  <c r="U111" i="22"/>
  <c r="T111" i="22"/>
  <c r="S111" i="22"/>
  <c r="R111" i="22"/>
  <c r="Q111" i="22"/>
  <c r="P111" i="22"/>
  <c r="O111" i="22"/>
  <c r="N111" i="22"/>
  <c r="M111" i="22"/>
  <c r="L111" i="22"/>
  <c r="U110" i="22"/>
  <c r="T110" i="22"/>
  <c r="S110" i="22"/>
  <c r="R110" i="22"/>
  <c r="Q110" i="22"/>
  <c r="P110" i="22"/>
  <c r="O110" i="22"/>
  <c r="N110" i="22"/>
  <c r="M110" i="22"/>
  <c r="L110" i="22"/>
  <c r="U109" i="22"/>
  <c r="T109" i="22"/>
  <c r="S109" i="22"/>
  <c r="R109" i="22"/>
  <c r="Q109" i="22"/>
  <c r="P109" i="22"/>
  <c r="O109" i="22"/>
  <c r="N109" i="22"/>
  <c r="M109" i="22"/>
  <c r="L109" i="22"/>
  <c r="U106" i="22"/>
  <c r="T106" i="22"/>
  <c r="S106" i="22"/>
  <c r="R106" i="22"/>
  <c r="Q106" i="22"/>
  <c r="P106" i="22"/>
  <c r="O106" i="22"/>
  <c r="N106" i="22"/>
  <c r="M106" i="22"/>
  <c r="L106" i="22"/>
  <c r="U105" i="22"/>
  <c r="T105" i="22"/>
  <c r="S105" i="22"/>
  <c r="R105" i="22"/>
  <c r="Q105" i="22"/>
  <c r="P105" i="22"/>
  <c r="O105" i="22"/>
  <c r="N105" i="22"/>
  <c r="M105" i="22"/>
  <c r="L105" i="22"/>
  <c r="U104" i="22"/>
  <c r="T104" i="22"/>
  <c r="S104" i="22"/>
  <c r="R104" i="22"/>
  <c r="Q104" i="22"/>
  <c r="P104" i="22"/>
  <c r="O104" i="22"/>
  <c r="N104" i="22"/>
  <c r="M104" i="22"/>
  <c r="L104" i="22"/>
  <c r="U103" i="22"/>
  <c r="T103" i="22"/>
  <c r="S103" i="22"/>
  <c r="R103" i="22"/>
  <c r="Q103" i="22"/>
  <c r="P103" i="22"/>
  <c r="O103" i="22"/>
  <c r="N103" i="22"/>
  <c r="M103" i="22"/>
  <c r="L103" i="22"/>
  <c r="U102" i="22"/>
  <c r="T102" i="22"/>
  <c r="S102" i="22"/>
  <c r="R102" i="22"/>
  <c r="Q102" i="22"/>
  <c r="P102" i="22"/>
  <c r="O102" i="22"/>
  <c r="N102" i="22"/>
  <c r="M102" i="22"/>
  <c r="L102" i="22"/>
  <c r="U101" i="22"/>
  <c r="T101" i="22"/>
  <c r="S101" i="22"/>
  <c r="R101" i="22"/>
  <c r="Q101" i="22"/>
  <c r="P101" i="22"/>
  <c r="O101" i="22"/>
  <c r="N101" i="22"/>
  <c r="M101" i="22"/>
  <c r="L101" i="22"/>
  <c r="U100" i="22"/>
  <c r="T100" i="22"/>
  <c r="S100" i="22"/>
  <c r="R100" i="22"/>
  <c r="Q100" i="22"/>
  <c r="P100" i="22"/>
  <c r="O100" i="22"/>
  <c r="N100" i="22"/>
  <c r="M100" i="22"/>
  <c r="L100" i="22"/>
  <c r="U99" i="22"/>
  <c r="T99" i="22"/>
  <c r="S99" i="22"/>
  <c r="R99" i="22"/>
  <c r="Q99" i="22"/>
  <c r="P99" i="22"/>
  <c r="O99" i="22"/>
  <c r="N99" i="22"/>
  <c r="M99" i="22"/>
  <c r="L99" i="22"/>
  <c r="U98" i="22"/>
  <c r="T98" i="22"/>
  <c r="S98" i="22"/>
  <c r="R98" i="22"/>
  <c r="Q98" i="22"/>
  <c r="P98" i="22"/>
  <c r="O98" i="22"/>
  <c r="N98" i="22"/>
  <c r="M98" i="22"/>
  <c r="L98" i="22"/>
  <c r="U97" i="22"/>
  <c r="T97" i="22"/>
  <c r="S97" i="22"/>
  <c r="R97" i="22"/>
  <c r="Q97" i="22"/>
  <c r="P97" i="22"/>
  <c r="O97" i="22"/>
  <c r="N97" i="22"/>
  <c r="M97" i="22"/>
  <c r="L97" i="22"/>
  <c r="U96" i="22"/>
  <c r="T96" i="22"/>
  <c r="S96" i="22"/>
  <c r="R96" i="22"/>
  <c r="Q96" i="22"/>
  <c r="P96" i="22"/>
  <c r="O96" i="22"/>
  <c r="N96" i="22"/>
  <c r="M96" i="22"/>
  <c r="L96" i="22"/>
  <c r="U95" i="22"/>
  <c r="T95" i="22"/>
  <c r="S95" i="22"/>
  <c r="R95" i="22"/>
  <c r="Q95" i="22"/>
  <c r="P95" i="22"/>
  <c r="O95" i="22"/>
  <c r="N95" i="22"/>
  <c r="M95" i="22"/>
  <c r="L95" i="22"/>
  <c r="U94" i="22"/>
  <c r="T94" i="22"/>
  <c r="S94" i="22"/>
  <c r="R94" i="22"/>
  <c r="Q94" i="22"/>
  <c r="P94" i="22"/>
  <c r="O94" i="22"/>
  <c r="N94" i="22"/>
  <c r="M94" i="22"/>
  <c r="L94" i="22"/>
  <c r="U91" i="22"/>
  <c r="T91" i="22"/>
  <c r="S91" i="22"/>
  <c r="R91" i="22"/>
  <c r="Q91" i="22"/>
  <c r="P91" i="22"/>
  <c r="O91" i="22"/>
  <c r="N91" i="22"/>
  <c r="M91" i="22"/>
  <c r="L91" i="22"/>
  <c r="U90" i="22"/>
  <c r="T90" i="22"/>
  <c r="S90" i="22"/>
  <c r="R90" i="22"/>
  <c r="Q90" i="22"/>
  <c r="P90" i="22"/>
  <c r="O90" i="22"/>
  <c r="N90" i="22"/>
  <c r="M90" i="22"/>
  <c r="L90" i="22"/>
  <c r="U89" i="22"/>
  <c r="T89" i="22"/>
  <c r="S89" i="22"/>
  <c r="R89" i="22"/>
  <c r="Q89" i="22"/>
  <c r="P89" i="22"/>
  <c r="O89" i="22"/>
  <c r="N89" i="22"/>
  <c r="M89" i="22"/>
  <c r="L89" i="22"/>
  <c r="U88" i="22"/>
  <c r="T88" i="22"/>
  <c r="S88" i="22"/>
  <c r="R88" i="22"/>
  <c r="Q88" i="22"/>
  <c r="P88" i="22"/>
  <c r="O88" i="22"/>
  <c r="N88" i="22"/>
  <c r="M88" i="22"/>
  <c r="L88" i="22"/>
  <c r="U87" i="22"/>
  <c r="T87" i="22"/>
  <c r="S87" i="22"/>
  <c r="R87" i="22"/>
  <c r="Q87" i="22"/>
  <c r="P87" i="22"/>
  <c r="O87" i="22"/>
  <c r="N87" i="22"/>
  <c r="M87" i="22"/>
  <c r="L87" i="22"/>
  <c r="U85" i="22"/>
  <c r="T85" i="22"/>
  <c r="S85" i="22"/>
  <c r="R85" i="22"/>
  <c r="Q85" i="22"/>
  <c r="P85" i="22"/>
  <c r="O85" i="22"/>
  <c r="N85" i="22"/>
  <c r="M85" i="22"/>
  <c r="L85" i="22"/>
  <c r="U84" i="22"/>
  <c r="T84" i="22"/>
  <c r="S84" i="22"/>
  <c r="R84" i="22"/>
  <c r="Q84" i="22"/>
  <c r="P84" i="22"/>
  <c r="O84" i="22"/>
  <c r="N84" i="22"/>
  <c r="M84" i="22"/>
  <c r="L84" i="22"/>
  <c r="U83" i="22"/>
  <c r="T83" i="22"/>
  <c r="S83" i="22"/>
  <c r="R83" i="22"/>
  <c r="Q83" i="22"/>
  <c r="P83" i="22"/>
  <c r="O83" i="22"/>
  <c r="N83" i="22"/>
  <c r="M83" i="22"/>
  <c r="L83" i="22"/>
  <c r="U82" i="22"/>
  <c r="T82" i="22"/>
  <c r="S82" i="22"/>
  <c r="R82" i="22"/>
  <c r="Q82" i="22"/>
  <c r="P82" i="22"/>
  <c r="O82" i="22"/>
  <c r="N82" i="22"/>
  <c r="M82" i="22"/>
  <c r="L82" i="22"/>
  <c r="U80" i="22"/>
  <c r="T80" i="22"/>
  <c r="S80" i="22"/>
  <c r="R80" i="22"/>
  <c r="Q80" i="22"/>
  <c r="P80" i="22"/>
  <c r="O80" i="22"/>
  <c r="N80" i="22"/>
  <c r="M80" i="22"/>
  <c r="L80" i="22"/>
  <c r="U79" i="22"/>
  <c r="T79" i="22"/>
  <c r="S79" i="22"/>
  <c r="R79" i="22"/>
  <c r="Q79" i="22"/>
  <c r="P79" i="22"/>
  <c r="O79" i="22"/>
  <c r="N79" i="22"/>
  <c r="M79" i="22"/>
  <c r="L79" i="22"/>
  <c r="U78" i="22"/>
  <c r="T78" i="22"/>
  <c r="S78" i="22"/>
  <c r="R78" i="22"/>
  <c r="Q78" i="22"/>
  <c r="P78" i="22"/>
  <c r="O78" i="22"/>
  <c r="N78" i="22"/>
  <c r="M78" i="22"/>
  <c r="L78" i="22"/>
  <c r="U77" i="22"/>
  <c r="T77" i="22"/>
  <c r="S77" i="22"/>
  <c r="R77" i="22"/>
  <c r="Q77" i="22"/>
  <c r="P77" i="22"/>
  <c r="O77" i="22"/>
  <c r="N77" i="22"/>
  <c r="M77" i="22"/>
  <c r="L77" i="22"/>
  <c r="U76" i="22"/>
  <c r="T76" i="22"/>
  <c r="S76" i="22"/>
  <c r="R76" i="22"/>
  <c r="Q76" i="22"/>
  <c r="P76" i="22"/>
  <c r="O76" i="22"/>
  <c r="N76" i="22"/>
  <c r="M76" i="22"/>
  <c r="L76" i="22"/>
  <c r="U75" i="22"/>
  <c r="T75" i="22"/>
  <c r="S75" i="22"/>
  <c r="R75" i="22"/>
  <c r="Q75" i="22"/>
  <c r="P75" i="22"/>
  <c r="O75" i="22"/>
  <c r="N75" i="22"/>
  <c r="M75" i="22"/>
  <c r="L75" i="22"/>
  <c r="U74" i="22"/>
  <c r="T74" i="22"/>
  <c r="S74" i="22"/>
  <c r="R74" i="22"/>
  <c r="Q74" i="22"/>
  <c r="P74" i="22"/>
  <c r="O74" i="22"/>
  <c r="N74" i="22"/>
  <c r="M74" i="22"/>
  <c r="L74" i="22"/>
  <c r="U73" i="22"/>
  <c r="T73" i="22"/>
  <c r="S73" i="22"/>
  <c r="R73" i="22"/>
  <c r="Q73" i="22"/>
  <c r="P73" i="22"/>
  <c r="O73" i="22"/>
  <c r="N73" i="22"/>
  <c r="M73" i="22"/>
  <c r="L73" i="22"/>
  <c r="U69" i="22"/>
  <c r="T69" i="22"/>
  <c r="S69" i="22"/>
  <c r="R69" i="22"/>
  <c r="Q69" i="22"/>
  <c r="P69" i="22"/>
  <c r="O69" i="22"/>
  <c r="N69" i="22"/>
  <c r="M69" i="22"/>
  <c r="L69" i="22"/>
  <c r="U68" i="22"/>
  <c r="T68" i="22"/>
  <c r="S68" i="22"/>
  <c r="R68" i="22"/>
  <c r="Q68" i="22"/>
  <c r="P68" i="22"/>
  <c r="O68" i="22"/>
  <c r="N68" i="22"/>
  <c r="M68" i="22"/>
  <c r="L68" i="22"/>
  <c r="U67" i="22"/>
  <c r="T67" i="22"/>
  <c r="S67" i="22"/>
  <c r="R67" i="22"/>
  <c r="Q67" i="22"/>
  <c r="P67" i="22"/>
  <c r="O67" i="22"/>
  <c r="N67" i="22"/>
  <c r="M67" i="22"/>
  <c r="L67" i="22"/>
  <c r="U65" i="22"/>
  <c r="T65" i="22"/>
  <c r="S65" i="22"/>
  <c r="R65" i="22"/>
  <c r="Q65" i="22"/>
  <c r="P65" i="22"/>
  <c r="O65" i="22"/>
  <c r="N65" i="22"/>
  <c r="M65" i="22"/>
  <c r="L65" i="22"/>
  <c r="U64" i="22"/>
  <c r="T64" i="22"/>
  <c r="S64" i="22"/>
  <c r="R64" i="22"/>
  <c r="Q64" i="22"/>
  <c r="P64" i="22"/>
  <c r="O64" i="22"/>
  <c r="N64" i="22"/>
  <c r="M64" i="22"/>
  <c r="L64" i="22"/>
  <c r="U63" i="22"/>
  <c r="T63" i="22"/>
  <c r="S63" i="22"/>
  <c r="R63" i="22"/>
  <c r="Q63" i="22"/>
  <c r="P63" i="22"/>
  <c r="O63" i="22"/>
  <c r="N63" i="22"/>
  <c r="M63" i="22"/>
  <c r="L63" i="22"/>
  <c r="U62" i="22"/>
  <c r="T62" i="22"/>
  <c r="S62" i="22"/>
  <c r="R62" i="22"/>
  <c r="Q62" i="22"/>
  <c r="P62" i="22"/>
  <c r="O62" i="22"/>
  <c r="N62" i="22"/>
  <c r="M62" i="22"/>
  <c r="L62" i="22"/>
  <c r="U61" i="22"/>
  <c r="T61" i="22"/>
  <c r="S61" i="22"/>
  <c r="R61" i="22"/>
  <c r="Q61" i="22"/>
  <c r="P61" i="22"/>
  <c r="O61" i="22"/>
  <c r="N61" i="22"/>
  <c r="M61" i="22"/>
  <c r="L61" i="22"/>
  <c r="U60" i="22"/>
  <c r="T60" i="22"/>
  <c r="S60" i="22"/>
  <c r="R60" i="22"/>
  <c r="Q60" i="22"/>
  <c r="P60" i="22"/>
  <c r="O60" i="22"/>
  <c r="N60" i="22"/>
  <c r="M60" i="22"/>
  <c r="L60" i="22"/>
  <c r="U59" i="22"/>
  <c r="T59" i="22"/>
  <c r="S59" i="22"/>
  <c r="R59" i="22"/>
  <c r="Q59" i="22"/>
  <c r="P59" i="22"/>
  <c r="O59" i="22"/>
  <c r="N59" i="22"/>
  <c r="M59" i="22"/>
  <c r="L59" i="22"/>
  <c r="U58" i="22"/>
  <c r="T58" i="22"/>
  <c r="S58" i="22"/>
  <c r="R58" i="22"/>
  <c r="Q58" i="22"/>
  <c r="P58" i="22"/>
  <c r="O58" i="22"/>
  <c r="N58" i="22"/>
  <c r="M58" i="22"/>
  <c r="L58" i="22"/>
  <c r="U57" i="22"/>
  <c r="T57" i="22"/>
  <c r="S57" i="22"/>
  <c r="R57" i="22"/>
  <c r="Q57" i="22"/>
  <c r="P57" i="22"/>
  <c r="O57" i="22"/>
  <c r="N57" i="22"/>
  <c r="M57" i="22"/>
  <c r="L57" i="22"/>
  <c r="U56" i="22"/>
  <c r="T56" i="22"/>
  <c r="S56" i="22"/>
  <c r="R56" i="22"/>
  <c r="Q56" i="22"/>
  <c r="P56" i="22"/>
  <c r="O56" i="22"/>
  <c r="N56" i="22"/>
  <c r="M56" i="22"/>
  <c r="L56" i="22"/>
  <c r="U54" i="22"/>
  <c r="T54" i="22"/>
  <c r="S54" i="22"/>
  <c r="R54" i="22"/>
  <c r="Q54" i="22"/>
  <c r="P54" i="22"/>
  <c r="O54" i="22"/>
  <c r="N54" i="22"/>
  <c r="M54" i="22"/>
  <c r="L54" i="22"/>
  <c r="U53" i="22"/>
  <c r="T53" i="22"/>
  <c r="S53" i="22"/>
  <c r="R53" i="22"/>
  <c r="Q53" i="22"/>
  <c r="P53" i="22"/>
  <c r="O53" i="22"/>
  <c r="N53" i="22"/>
  <c r="M53" i="22"/>
  <c r="L53" i="22"/>
  <c r="U52" i="22"/>
  <c r="T52" i="22"/>
  <c r="S52" i="22"/>
  <c r="R52" i="22"/>
  <c r="Q52" i="22"/>
  <c r="P52" i="22"/>
  <c r="O52" i="22"/>
  <c r="N52" i="22"/>
  <c r="M52" i="22"/>
  <c r="L52" i="22"/>
  <c r="U51" i="22"/>
  <c r="T51" i="22"/>
  <c r="S51" i="22"/>
  <c r="R51" i="22"/>
  <c r="Q51" i="22"/>
  <c r="P51" i="22"/>
  <c r="O51" i="22"/>
  <c r="N51" i="22"/>
  <c r="M51" i="22"/>
  <c r="L51" i="22"/>
  <c r="U50" i="22"/>
  <c r="T50" i="22"/>
  <c r="S50" i="22"/>
  <c r="R50" i="22"/>
  <c r="Q50" i="22"/>
  <c r="P50" i="22"/>
  <c r="O50" i="22"/>
  <c r="N50" i="22"/>
  <c r="M50" i="22"/>
  <c r="L50" i="22"/>
  <c r="U48" i="22"/>
  <c r="T48" i="22"/>
  <c r="S48" i="22"/>
  <c r="R48" i="22"/>
  <c r="Q48" i="22"/>
  <c r="P48" i="22"/>
  <c r="O48" i="22"/>
  <c r="N48" i="22"/>
  <c r="M48" i="22"/>
  <c r="L48" i="22"/>
  <c r="U47" i="22"/>
  <c r="T47" i="22"/>
  <c r="S47" i="22"/>
  <c r="R47" i="22"/>
  <c r="Q47" i="22"/>
  <c r="P47" i="22"/>
  <c r="O47" i="22"/>
  <c r="N47" i="22"/>
  <c r="M47" i="22"/>
  <c r="L47" i="22"/>
  <c r="U46" i="22"/>
  <c r="T46" i="22"/>
  <c r="S46" i="22"/>
  <c r="R46" i="22"/>
  <c r="Q46" i="22"/>
  <c r="P46" i="22"/>
  <c r="O46" i="22"/>
  <c r="N46" i="22"/>
  <c r="M46" i="22"/>
  <c r="L46" i="22"/>
  <c r="U45" i="22"/>
  <c r="T45" i="22"/>
  <c r="S45" i="22"/>
  <c r="R45" i="22"/>
  <c r="Q45" i="22"/>
  <c r="P45" i="22"/>
  <c r="O45" i="22"/>
  <c r="N45" i="22"/>
  <c r="M45" i="22"/>
  <c r="L45" i="22"/>
  <c r="U44" i="22"/>
  <c r="T44" i="22"/>
  <c r="S44" i="22"/>
  <c r="R44" i="22"/>
  <c r="Q44" i="22"/>
  <c r="P44" i="22"/>
  <c r="O44" i="22"/>
  <c r="N44" i="22"/>
  <c r="M44" i="22"/>
  <c r="L44" i="22"/>
  <c r="U43" i="22"/>
  <c r="T43" i="22"/>
  <c r="S43" i="22"/>
  <c r="R43" i="22"/>
  <c r="Q43" i="22"/>
  <c r="P43" i="22"/>
  <c r="O43" i="22"/>
  <c r="N43" i="22"/>
  <c r="M43" i="22"/>
  <c r="L43" i="22"/>
  <c r="U42" i="22"/>
  <c r="T42" i="22"/>
  <c r="S42" i="22"/>
  <c r="R42" i="22"/>
  <c r="Q42" i="22"/>
  <c r="P42" i="22"/>
  <c r="O42" i="22"/>
  <c r="N42" i="22"/>
  <c r="M42" i="22"/>
  <c r="L42" i="22"/>
  <c r="U41" i="22"/>
  <c r="T41" i="22"/>
  <c r="S41" i="22"/>
  <c r="R41" i="22"/>
  <c r="Q41" i="22"/>
  <c r="P41" i="22"/>
  <c r="O41" i="22"/>
  <c r="N41" i="22"/>
  <c r="M41" i="22"/>
  <c r="L41" i="22"/>
  <c r="U40" i="22"/>
  <c r="T40" i="22"/>
  <c r="S40" i="22"/>
  <c r="R40" i="22"/>
  <c r="Q40" i="22"/>
  <c r="P40" i="22"/>
  <c r="O40" i="22"/>
  <c r="N40" i="22"/>
  <c r="M40" i="22"/>
  <c r="L40" i="22"/>
  <c r="U39" i="22"/>
  <c r="T39" i="22"/>
  <c r="S39" i="22"/>
  <c r="R39" i="22"/>
  <c r="Q39" i="22"/>
  <c r="P39" i="22"/>
  <c r="O39" i="22"/>
  <c r="N39" i="22"/>
  <c r="M39" i="22"/>
  <c r="L39" i="22"/>
  <c r="U38" i="22"/>
  <c r="T38" i="22"/>
  <c r="S38" i="22"/>
  <c r="R38" i="22"/>
  <c r="Q38" i="22"/>
  <c r="P38" i="22"/>
  <c r="O38" i="22"/>
  <c r="N38" i="22"/>
  <c r="M38" i="22"/>
  <c r="L38" i="22"/>
  <c r="U37" i="22"/>
  <c r="T37" i="22"/>
  <c r="S37" i="22"/>
  <c r="R37" i="22"/>
  <c r="Q37" i="22"/>
  <c r="P37" i="22"/>
  <c r="O37" i="22"/>
  <c r="N37" i="22"/>
  <c r="M37" i="22"/>
  <c r="L37" i="22"/>
  <c r="U36" i="22"/>
  <c r="T36" i="22"/>
  <c r="S36" i="22"/>
  <c r="R36" i="22"/>
  <c r="Q36" i="22"/>
  <c r="P36" i="22"/>
  <c r="O36" i="22"/>
  <c r="N36" i="22"/>
  <c r="M36" i="22"/>
  <c r="L36" i="22"/>
  <c r="U35" i="22"/>
  <c r="T35" i="22"/>
  <c r="S35" i="22"/>
  <c r="R35" i="22"/>
  <c r="Q35" i="22"/>
  <c r="P35" i="22"/>
  <c r="O35" i="22"/>
  <c r="N35" i="22"/>
  <c r="M35" i="22"/>
  <c r="L35" i="22"/>
  <c r="U31" i="22"/>
  <c r="T31" i="22"/>
  <c r="S31" i="22"/>
  <c r="R31" i="22"/>
  <c r="Q31" i="22"/>
  <c r="P31" i="22"/>
  <c r="O31" i="22"/>
  <c r="N31" i="22"/>
  <c r="M31" i="22"/>
  <c r="L31" i="22"/>
  <c r="U30" i="22"/>
  <c r="T30" i="22"/>
  <c r="S30" i="22"/>
  <c r="R30" i="22"/>
  <c r="Q30" i="22"/>
  <c r="P30" i="22"/>
  <c r="O30" i="22"/>
  <c r="N30" i="22"/>
  <c r="M30" i="22"/>
  <c r="L30" i="22"/>
  <c r="U29" i="22"/>
  <c r="T29" i="22"/>
  <c r="S29" i="22"/>
  <c r="R29" i="22"/>
  <c r="Q29" i="22"/>
  <c r="P29" i="22"/>
  <c r="O29" i="22"/>
  <c r="N29" i="22"/>
  <c r="M29" i="22"/>
  <c r="L29" i="22"/>
  <c r="U28" i="22"/>
  <c r="T28" i="22"/>
  <c r="S28" i="22"/>
  <c r="R28" i="22"/>
  <c r="Q28" i="22"/>
  <c r="P28" i="22"/>
  <c r="O28" i="22"/>
  <c r="N28" i="22"/>
  <c r="M28" i="22"/>
  <c r="L28" i="22"/>
  <c r="U27" i="22"/>
  <c r="T27" i="22"/>
  <c r="S27" i="22"/>
  <c r="R27" i="22"/>
  <c r="Q27" i="22"/>
  <c r="P27" i="22"/>
  <c r="O27" i="22"/>
  <c r="N27" i="22"/>
  <c r="M27" i="22"/>
  <c r="L27" i="22"/>
  <c r="U26" i="22"/>
  <c r="T26" i="22"/>
  <c r="S26" i="22"/>
  <c r="R26" i="22"/>
  <c r="Q26" i="22"/>
  <c r="P26" i="22"/>
  <c r="O26" i="22"/>
  <c r="N26" i="22"/>
  <c r="M26" i="22"/>
  <c r="L26" i="22"/>
  <c r="U25" i="22"/>
  <c r="T25" i="22"/>
  <c r="S25" i="22"/>
  <c r="R25" i="22"/>
  <c r="Q25" i="22"/>
  <c r="P25" i="22"/>
  <c r="O25" i="22"/>
  <c r="N25" i="22"/>
  <c r="M25" i="22"/>
  <c r="L25" i="22"/>
  <c r="U24" i="22"/>
  <c r="T24" i="22"/>
  <c r="S24" i="22"/>
  <c r="R24" i="22"/>
  <c r="Q24" i="22"/>
  <c r="P24" i="22"/>
  <c r="O24" i="22"/>
  <c r="N24" i="22"/>
  <c r="M24" i="22"/>
  <c r="L24" i="22"/>
  <c r="U23" i="22"/>
  <c r="T23" i="22"/>
  <c r="S23" i="22"/>
  <c r="R23" i="22"/>
  <c r="Q23" i="22"/>
  <c r="P23" i="22"/>
  <c r="O23" i="22"/>
  <c r="N23" i="22"/>
  <c r="M23" i="22"/>
  <c r="L23" i="22"/>
  <c r="U20" i="22"/>
  <c r="T20" i="22"/>
  <c r="S20" i="22"/>
  <c r="R20" i="22"/>
  <c r="Q20" i="22"/>
  <c r="P20" i="22"/>
  <c r="O20" i="22"/>
  <c r="N20" i="22"/>
  <c r="M20" i="22"/>
  <c r="L20" i="22"/>
  <c r="U19" i="22"/>
  <c r="T19" i="22"/>
  <c r="S19" i="22"/>
  <c r="R19" i="22"/>
  <c r="Q19" i="22"/>
  <c r="P19" i="22"/>
  <c r="O19" i="22"/>
  <c r="N19" i="22"/>
  <c r="M19" i="22"/>
  <c r="L19" i="22"/>
  <c r="U18" i="22"/>
  <c r="T18" i="22"/>
  <c r="S18" i="22"/>
  <c r="R18" i="22"/>
  <c r="Q18" i="22"/>
  <c r="P18" i="22"/>
  <c r="O18" i="22"/>
  <c r="N18" i="22"/>
  <c r="M18" i="22"/>
  <c r="L18" i="22"/>
  <c r="U17" i="22"/>
  <c r="T17" i="22"/>
  <c r="S17" i="22"/>
  <c r="R17" i="22"/>
  <c r="Q17" i="22"/>
  <c r="P17" i="22"/>
  <c r="O17" i="22"/>
  <c r="N17" i="22"/>
  <c r="M17" i="22"/>
  <c r="L17" i="22"/>
  <c r="AF69" i="22" l="1"/>
  <c r="AE69" i="22"/>
  <c r="AD69" i="22"/>
  <c r="AF68" i="22"/>
  <c r="AE68" i="22"/>
  <c r="AD68" i="22"/>
  <c r="AF67" i="22"/>
  <c r="AE67" i="22"/>
  <c r="AD67" i="22"/>
  <c r="AF65" i="22"/>
  <c r="AE65" i="22"/>
  <c r="AD65" i="22"/>
  <c r="AF64" i="22"/>
  <c r="AE64" i="22"/>
  <c r="AD64" i="22"/>
  <c r="AF63" i="22"/>
  <c r="AE63" i="22"/>
  <c r="AD63" i="22"/>
  <c r="AF62" i="22"/>
  <c r="AE62" i="22"/>
  <c r="AD62" i="22"/>
  <c r="AF61" i="22"/>
  <c r="AE61" i="22"/>
  <c r="AD61" i="22"/>
  <c r="AF60" i="22"/>
  <c r="AE60" i="22"/>
  <c r="AD60" i="22"/>
  <c r="AF59" i="22"/>
  <c r="AE59" i="22"/>
  <c r="AD59" i="22"/>
  <c r="AF58" i="22"/>
  <c r="AE58" i="22"/>
  <c r="AD58" i="22"/>
  <c r="AF57" i="22"/>
  <c r="AE57" i="22"/>
  <c r="AD57" i="22"/>
  <c r="AF56" i="22"/>
  <c r="AE56" i="22"/>
  <c r="AD56" i="22"/>
  <c r="AF54" i="22"/>
  <c r="AE54" i="22"/>
  <c r="AD54" i="22"/>
  <c r="AF53" i="22"/>
  <c r="AE53" i="22"/>
  <c r="AD53" i="22"/>
  <c r="AF52" i="22"/>
  <c r="AE52" i="22"/>
  <c r="AD52" i="22"/>
  <c r="AF51" i="22"/>
  <c r="AE51" i="22"/>
  <c r="AD51" i="22"/>
  <c r="AF50" i="22"/>
  <c r="AE50" i="22"/>
  <c r="AD50" i="22"/>
  <c r="AF48" i="22"/>
  <c r="AE48" i="22"/>
  <c r="AD48" i="22"/>
  <c r="AF47" i="22"/>
  <c r="AE47" i="22"/>
  <c r="AD47" i="22"/>
  <c r="AF46" i="22"/>
  <c r="AE46" i="22"/>
  <c r="AD46" i="22"/>
  <c r="AF45" i="22"/>
  <c r="AE45" i="22"/>
  <c r="AD45" i="22"/>
  <c r="AF44" i="22"/>
  <c r="AE44" i="22"/>
  <c r="AD44" i="22"/>
  <c r="AF43" i="22"/>
  <c r="AE43" i="22"/>
  <c r="AD43" i="22"/>
  <c r="AF42" i="22"/>
  <c r="AE42" i="22"/>
  <c r="AD42" i="22"/>
  <c r="AF41" i="22"/>
  <c r="AE41" i="22"/>
  <c r="AD41" i="22"/>
  <c r="AF40" i="22"/>
  <c r="AE40" i="22"/>
  <c r="AD40" i="22"/>
  <c r="AF39" i="22"/>
  <c r="AE39" i="22"/>
  <c r="AD39" i="22"/>
  <c r="AF38" i="22"/>
  <c r="AE38" i="22"/>
  <c r="AD38" i="22"/>
  <c r="AF37" i="22"/>
  <c r="AE37" i="22"/>
  <c r="AD37" i="22"/>
  <c r="AF36" i="22"/>
  <c r="AE36" i="22"/>
  <c r="AD36" i="22"/>
  <c r="AD35" i="22"/>
  <c r="AE35" i="22"/>
  <c r="AF35" i="22"/>
  <c r="AD243" i="22" l="1"/>
  <c r="AE243" i="22"/>
  <c r="AF243" i="22"/>
  <c r="K4" i="32" l="1"/>
  <c r="T4" i="32"/>
  <c r="D57" i="34"/>
  <c r="D56" i="34"/>
  <c r="D55" i="34"/>
  <c r="D54" i="34"/>
  <c r="D53" i="34"/>
  <c r="D52" i="34"/>
  <c r="D51" i="34"/>
  <c r="D50" i="34"/>
  <c r="D49" i="34"/>
  <c r="D39" i="34"/>
  <c r="D38" i="34"/>
  <c r="D37" i="34"/>
  <c r="D36" i="34"/>
  <c r="D35" i="34"/>
  <c r="D34" i="34"/>
  <c r="D33" i="34"/>
  <c r="D32" i="34"/>
  <c r="D31" i="34"/>
  <c r="D21" i="34"/>
  <c r="D20" i="34"/>
  <c r="D19" i="34"/>
  <c r="D18" i="34"/>
  <c r="D17" i="34"/>
  <c r="D16" i="34"/>
  <c r="D15" i="34"/>
  <c r="D14" i="34"/>
  <c r="D13" i="34"/>
  <c r="E62" i="34"/>
  <c r="E61" i="34"/>
  <c r="O4" i="33"/>
  <c r="J6" i="34"/>
  <c r="B6" i="34"/>
  <c r="B5" i="34"/>
  <c r="J4" i="34"/>
  <c r="B4" i="34"/>
  <c r="L59" i="23"/>
  <c r="D57" i="23"/>
  <c r="D56" i="23"/>
  <c r="D55" i="23"/>
  <c r="D54" i="23"/>
  <c r="D53" i="23"/>
  <c r="D52" i="23"/>
  <c r="D51" i="23"/>
  <c r="D50" i="23"/>
  <c r="D49" i="23"/>
  <c r="L41" i="23"/>
  <c r="D39" i="23"/>
  <c r="D38" i="23"/>
  <c r="D37" i="23"/>
  <c r="D36" i="23"/>
  <c r="D35" i="23"/>
  <c r="D34" i="23"/>
  <c r="D33" i="23"/>
  <c r="D32" i="23"/>
  <c r="D31" i="23"/>
  <c r="O6" i="33"/>
  <c r="C6" i="33"/>
  <c r="C5" i="33"/>
  <c r="C4" i="33"/>
  <c r="AF255" i="22"/>
  <c r="AF254" i="22"/>
  <c r="AF253" i="22"/>
  <c r="AF250" i="22"/>
  <c r="AF249" i="22"/>
  <c r="AF247" i="22"/>
  <c r="AF246" i="22"/>
  <c r="AF245" i="22"/>
  <c r="AF242" i="22"/>
  <c r="AF241" i="22"/>
  <c r="AF240" i="22"/>
  <c r="AF239" i="22"/>
  <c r="AF238" i="22"/>
  <c r="AF237" i="22"/>
  <c r="AF236" i="22"/>
  <c r="AF235" i="22"/>
  <c r="AF234" i="22"/>
  <c r="AF233" i="22"/>
  <c r="AF232" i="22"/>
  <c r="AF231" i="22"/>
  <c r="AF230" i="22"/>
  <c r="AF229" i="22"/>
  <c r="AF228" i="22"/>
  <c r="AF227" i="22"/>
  <c r="AF226" i="22"/>
  <c r="AF225" i="22"/>
  <c r="AF224" i="22"/>
  <c r="AF223" i="22"/>
  <c r="AF220" i="22"/>
  <c r="AF219" i="22"/>
  <c r="AF218" i="22"/>
  <c r="AF217" i="22"/>
  <c r="AF216" i="22"/>
  <c r="AF215" i="22"/>
  <c r="AF214" i="22"/>
  <c r="AF213" i="22"/>
  <c r="AF212" i="22"/>
  <c r="AF209" i="22"/>
  <c r="AF208" i="22"/>
  <c r="AF207" i="22"/>
  <c r="AF206" i="22"/>
  <c r="AF205" i="22"/>
  <c r="AF204" i="22"/>
  <c r="AF203" i="22"/>
  <c r="AF202" i="22"/>
  <c r="AF201" i="22"/>
  <c r="AF200" i="22"/>
  <c r="AF199" i="22"/>
  <c r="AF198" i="22"/>
  <c r="AF197" i="22"/>
  <c r="AF194" i="22"/>
  <c r="AF192" i="22"/>
  <c r="AF191" i="22"/>
  <c r="AF190" i="22"/>
  <c r="AF188" i="22"/>
  <c r="AF187" i="22"/>
  <c r="AF186" i="22"/>
  <c r="AF183" i="22"/>
  <c r="AF182" i="22"/>
  <c r="AF181" i="22"/>
  <c r="AF180" i="22"/>
  <c r="AF179" i="22"/>
  <c r="AF178" i="22"/>
  <c r="AF175" i="22"/>
  <c r="AF174" i="22"/>
  <c r="AF173" i="22"/>
  <c r="AF172" i="22"/>
  <c r="AF171" i="22"/>
  <c r="AF170" i="22"/>
  <c r="AF169" i="22"/>
  <c r="AF168" i="22"/>
  <c r="AF167" i="22"/>
  <c r="AF166" i="22"/>
  <c r="AF165" i="22"/>
  <c r="AF164" i="22"/>
  <c r="AF163" i="22"/>
  <c r="AF162" i="22"/>
  <c r="AF161" i="22"/>
  <c r="AF160" i="22"/>
  <c r="AF159" i="22"/>
  <c r="AF158" i="22"/>
  <c r="AF157" i="22"/>
  <c r="AF156" i="22"/>
  <c r="AF155" i="22"/>
  <c r="AF154" i="22"/>
  <c r="AF153" i="22"/>
  <c r="AF150" i="22"/>
  <c r="AF149" i="22"/>
  <c r="AF148" i="22"/>
  <c r="AF147" i="22"/>
  <c r="AF146" i="22"/>
  <c r="AF145" i="22"/>
  <c r="AF144" i="22"/>
  <c r="AF143" i="22"/>
  <c r="AF142" i="22"/>
  <c r="AF141" i="22"/>
  <c r="AF140" i="22"/>
  <c r="AF137" i="22"/>
  <c r="AF136" i="22"/>
  <c r="AF135" i="22"/>
  <c r="AF134" i="22"/>
  <c r="AF133" i="22"/>
  <c r="AF132" i="22"/>
  <c r="AF131" i="22"/>
  <c r="AF130" i="22"/>
  <c r="AF129" i="22"/>
  <c r="AF128" i="22"/>
  <c r="AF127" i="22"/>
  <c r="AF126" i="22"/>
  <c r="AF125" i="22"/>
  <c r="AF124" i="22"/>
  <c r="AF123" i="22"/>
  <c r="AF122" i="22"/>
  <c r="AF121" i="22"/>
  <c r="AF120" i="22"/>
  <c r="AF119" i="22"/>
  <c r="AF118" i="22"/>
  <c r="AF117" i="22"/>
  <c r="AF116" i="22"/>
  <c r="AF115" i="22"/>
  <c r="AF114" i="22"/>
  <c r="AF113" i="22"/>
  <c r="AF112" i="22"/>
  <c r="AF111" i="22"/>
  <c r="AF110" i="22"/>
  <c r="AF109" i="22"/>
  <c r="AF106" i="22"/>
  <c r="AF105" i="22"/>
  <c r="AF104" i="22"/>
  <c r="AF103" i="22"/>
  <c r="AF102" i="22"/>
  <c r="AF101" i="22"/>
  <c r="AF100" i="22"/>
  <c r="AF99" i="22"/>
  <c r="AF98" i="22"/>
  <c r="AF97" i="22"/>
  <c r="AF96" i="22"/>
  <c r="AF95" i="22"/>
  <c r="AF94" i="22"/>
  <c r="AF91" i="22"/>
  <c r="AF90" i="22"/>
  <c r="AF89" i="22"/>
  <c r="AF88" i="22"/>
  <c r="AF87" i="22"/>
  <c r="AF85" i="22"/>
  <c r="AF84" i="22"/>
  <c r="AF83" i="22"/>
  <c r="AF82" i="22"/>
  <c r="AF80" i="22"/>
  <c r="AF79" i="22"/>
  <c r="AF78" i="22"/>
  <c r="AF77" i="22"/>
  <c r="AF76" i="22"/>
  <c r="AF75" i="22"/>
  <c r="AF74" i="22"/>
  <c r="AF73" i="22"/>
  <c r="AF31" i="22"/>
  <c r="AF30" i="22"/>
  <c r="AF29" i="22"/>
  <c r="AF28" i="22"/>
  <c r="AF27" i="22"/>
  <c r="AF26" i="22"/>
  <c r="AF25" i="22"/>
  <c r="AF24" i="22"/>
  <c r="AF23" i="22"/>
  <c r="AF20" i="22"/>
  <c r="AF19" i="22"/>
  <c r="AF18" i="22"/>
  <c r="AF17" i="22"/>
  <c r="AF16" i="22"/>
  <c r="AF15" i="22"/>
  <c r="AF14" i="22"/>
  <c r="AF13" i="22"/>
  <c r="AE255" i="22"/>
  <c r="AE254" i="22"/>
  <c r="AE253" i="22"/>
  <c r="AE250" i="22"/>
  <c r="AE249" i="22"/>
  <c r="AE247" i="22"/>
  <c r="AE246" i="22"/>
  <c r="AE245" i="22"/>
  <c r="AE242" i="22"/>
  <c r="AE241" i="22"/>
  <c r="AE240" i="22"/>
  <c r="AE239" i="22"/>
  <c r="AE238" i="22"/>
  <c r="AE237" i="22"/>
  <c r="AE236" i="22"/>
  <c r="AE235" i="22"/>
  <c r="AE234" i="22"/>
  <c r="AE233" i="22"/>
  <c r="AE232" i="22"/>
  <c r="AE231" i="22"/>
  <c r="AE230" i="22"/>
  <c r="AE229" i="22"/>
  <c r="AE228" i="22"/>
  <c r="AE227" i="22"/>
  <c r="AE226" i="22"/>
  <c r="AE225" i="22"/>
  <c r="AE224" i="22"/>
  <c r="AE223" i="22"/>
  <c r="AE220" i="22"/>
  <c r="AE219" i="22"/>
  <c r="AE218" i="22"/>
  <c r="AE217" i="22"/>
  <c r="AE216" i="22"/>
  <c r="AE215" i="22"/>
  <c r="AE214" i="22"/>
  <c r="AE213" i="22"/>
  <c r="AE212" i="22"/>
  <c r="AE209" i="22"/>
  <c r="AE208" i="22"/>
  <c r="AE207" i="22"/>
  <c r="AE206" i="22"/>
  <c r="AE205" i="22"/>
  <c r="AE204" i="22"/>
  <c r="AE203" i="22"/>
  <c r="AE202" i="22"/>
  <c r="AE201" i="22"/>
  <c r="AE200" i="22"/>
  <c r="AE199" i="22"/>
  <c r="AE198" i="22"/>
  <c r="AE197" i="22"/>
  <c r="AE194" i="22"/>
  <c r="AE192" i="22"/>
  <c r="AE191" i="22"/>
  <c r="AE190" i="22"/>
  <c r="AE188" i="22"/>
  <c r="AE187" i="22"/>
  <c r="AE186" i="22"/>
  <c r="AE183" i="22"/>
  <c r="AE182" i="22"/>
  <c r="AE181" i="22"/>
  <c r="AE180" i="22"/>
  <c r="AE179" i="22"/>
  <c r="AE178" i="22"/>
  <c r="AE175" i="22"/>
  <c r="AE174" i="22"/>
  <c r="AE173" i="22"/>
  <c r="AE172" i="22"/>
  <c r="AE171" i="22"/>
  <c r="AE170" i="22"/>
  <c r="AE169" i="22"/>
  <c r="AE168" i="22"/>
  <c r="AE167" i="22"/>
  <c r="AE166" i="22"/>
  <c r="AE165" i="22"/>
  <c r="AE164" i="22"/>
  <c r="AE163" i="22"/>
  <c r="AE162" i="22"/>
  <c r="AE161" i="22"/>
  <c r="AE160" i="22"/>
  <c r="AE159" i="22"/>
  <c r="AE158" i="22"/>
  <c r="AE157" i="22"/>
  <c r="AE156" i="22"/>
  <c r="AE155" i="22"/>
  <c r="AE154" i="22"/>
  <c r="AE153" i="22"/>
  <c r="AE150" i="22"/>
  <c r="AE149" i="22"/>
  <c r="AE148" i="22"/>
  <c r="AE147" i="22"/>
  <c r="AE146" i="22"/>
  <c r="AE145" i="22"/>
  <c r="AE144" i="22"/>
  <c r="AE143" i="22"/>
  <c r="AE142" i="22"/>
  <c r="AE141" i="22"/>
  <c r="AE140" i="22"/>
  <c r="AE137" i="22"/>
  <c r="AE136" i="22"/>
  <c r="AE135" i="22"/>
  <c r="AE134" i="22"/>
  <c r="AE133" i="22"/>
  <c r="AE132" i="22"/>
  <c r="AE131" i="22"/>
  <c r="AE130" i="22"/>
  <c r="AE129" i="22"/>
  <c r="AE128" i="22"/>
  <c r="AE127" i="22"/>
  <c r="AE126" i="22"/>
  <c r="AE125" i="22"/>
  <c r="AE124" i="22"/>
  <c r="AE123" i="22"/>
  <c r="AE122" i="22"/>
  <c r="AE121" i="22"/>
  <c r="AE120" i="22"/>
  <c r="AE119" i="22"/>
  <c r="AE118" i="22"/>
  <c r="AE117" i="22"/>
  <c r="AE116" i="22"/>
  <c r="AE115" i="22"/>
  <c r="AE114" i="22"/>
  <c r="AE113" i="22"/>
  <c r="AE112" i="22"/>
  <c r="AE111" i="22"/>
  <c r="AE110" i="22"/>
  <c r="AE109" i="22"/>
  <c r="AE106" i="22"/>
  <c r="AE105" i="22"/>
  <c r="AE104" i="22"/>
  <c r="AE103" i="22"/>
  <c r="AE102" i="22"/>
  <c r="AE101" i="22"/>
  <c r="AE100" i="22"/>
  <c r="AE99" i="22"/>
  <c r="AE98" i="22"/>
  <c r="AE97" i="22"/>
  <c r="AE96" i="22"/>
  <c r="AE95" i="22"/>
  <c r="AE94" i="22"/>
  <c r="AE91" i="22"/>
  <c r="AE90" i="22"/>
  <c r="AE89" i="22"/>
  <c r="AE88" i="22"/>
  <c r="AE87" i="22"/>
  <c r="AE85" i="22"/>
  <c r="AE84" i="22"/>
  <c r="AE83" i="22"/>
  <c r="AE82" i="22"/>
  <c r="AE80" i="22"/>
  <c r="AE79" i="22"/>
  <c r="AE78" i="22"/>
  <c r="AE77" i="22"/>
  <c r="AE76" i="22"/>
  <c r="AE75" i="22"/>
  <c r="AE74" i="22"/>
  <c r="AE73" i="22"/>
  <c r="AE31" i="22"/>
  <c r="AE30" i="22"/>
  <c r="AE29" i="22"/>
  <c r="AE28" i="22"/>
  <c r="AE27" i="22"/>
  <c r="AE26" i="22"/>
  <c r="AE25" i="22"/>
  <c r="AE24" i="22"/>
  <c r="AE23" i="22"/>
  <c r="AE20" i="22"/>
  <c r="AE19" i="22"/>
  <c r="AE18" i="22"/>
  <c r="AE17" i="22"/>
  <c r="AE16" i="22"/>
  <c r="AE15" i="22"/>
  <c r="AE14" i="22"/>
  <c r="AE13" i="22"/>
  <c r="AD255" i="22"/>
  <c r="AD254" i="22"/>
  <c r="AD253" i="22"/>
  <c r="AD250" i="22"/>
  <c r="AD249" i="22"/>
  <c r="AD247" i="22"/>
  <c r="AD246" i="22"/>
  <c r="AD245" i="22"/>
  <c r="AD242" i="22"/>
  <c r="AD241" i="22"/>
  <c r="AD240" i="22"/>
  <c r="AD239" i="22"/>
  <c r="AD238" i="22"/>
  <c r="AD237" i="22"/>
  <c r="AD236" i="22"/>
  <c r="AD235" i="22"/>
  <c r="AD234" i="22"/>
  <c r="AD233" i="22"/>
  <c r="AD232" i="22"/>
  <c r="AD231" i="22"/>
  <c r="AD230" i="22"/>
  <c r="AD229" i="22"/>
  <c r="AD228" i="22"/>
  <c r="AD227" i="22"/>
  <c r="AD226" i="22"/>
  <c r="AD225" i="22"/>
  <c r="AD224" i="22"/>
  <c r="AD223" i="22"/>
  <c r="AD220" i="22"/>
  <c r="AD219" i="22"/>
  <c r="AD218" i="22"/>
  <c r="AD217" i="22"/>
  <c r="AD216" i="22"/>
  <c r="AD215" i="22"/>
  <c r="AD214" i="22"/>
  <c r="AD213" i="22"/>
  <c r="AD212" i="22"/>
  <c r="AD209" i="22"/>
  <c r="AD208" i="22"/>
  <c r="AD207" i="22"/>
  <c r="AD206" i="22"/>
  <c r="AD205" i="22"/>
  <c r="AD204" i="22"/>
  <c r="AD203" i="22"/>
  <c r="AD202" i="22"/>
  <c r="AD201" i="22"/>
  <c r="AD200" i="22"/>
  <c r="AD199" i="22"/>
  <c r="AD198" i="22"/>
  <c r="AD197" i="22"/>
  <c r="AD194" i="22"/>
  <c r="AD192" i="22"/>
  <c r="AD191" i="22"/>
  <c r="AD190" i="22"/>
  <c r="AD188" i="22"/>
  <c r="AD187" i="22"/>
  <c r="AD186" i="22"/>
  <c r="AD183" i="22"/>
  <c r="AD182" i="22"/>
  <c r="AD181" i="22"/>
  <c r="AD180" i="22"/>
  <c r="AD179" i="22"/>
  <c r="AD178" i="22"/>
  <c r="AD175" i="22"/>
  <c r="AD174" i="22"/>
  <c r="AD173" i="22"/>
  <c r="AD172" i="22"/>
  <c r="AD171" i="22"/>
  <c r="AD170" i="22"/>
  <c r="AD169" i="22"/>
  <c r="AD168" i="22"/>
  <c r="AD167" i="22"/>
  <c r="AD166" i="22"/>
  <c r="AD165" i="22"/>
  <c r="AD164" i="22"/>
  <c r="AD163" i="22"/>
  <c r="AD162" i="22"/>
  <c r="AD161" i="22"/>
  <c r="AD160" i="22"/>
  <c r="AD159" i="22"/>
  <c r="AD158" i="22"/>
  <c r="AD157" i="22"/>
  <c r="AD156" i="22"/>
  <c r="AD155" i="22"/>
  <c r="AD154" i="22"/>
  <c r="AD153" i="22"/>
  <c r="AD150" i="22"/>
  <c r="AD149" i="22"/>
  <c r="AD148" i="22"/>
  <c r="AD147" i="22"/>
  <c r="AD146" i="22"/>
  <c r="AD145" i="22"/>
  <c r="AD144" i="22"/>
  <c r="AD143" i="22"/>
  <c r="AD142" i="22"/>
  <c r="AD141" i="22"/>
  <c r="AD140" i="22"/>
  <c r="AD137" i="22"/>
  <c r="AD136" i="22"/>
  <c r="AD135" i="22"/>
  <c r="AD134" i="22"/>
  <c r="AD133" i="22"/>
  <c r="AD132" i="22"/>
  <c r="AD131" i="22"/>
  <c r="AD130" i="22"/>
  <c r="AD129" i="22"/>
  <c r="AD128" i="22"/>
  <c r="AD127" i="22"/>
  <c r="AD126" i="22"/>
  <c r="AD125" i="22"/>
  <c r="AD124" i="22"/>
  <c r="AD123" i="22"/>
  <c r="AD122" i="22"/>
  <c r="AD121" i="22"/>
  <c r="AD120" i="22"/>
  <c r="AD119" i="22"/>
  <c r="AD118" i="22"/>
  <c r="AD117" i="22"/>
  <c r="AD116" i="22"/>
  <c r="AD115" i="22"/>
  <c r="AD114" i="22"/>
  <c r="AD113" i="22"/>
  <c r="AD112" i="22"/>
  <c r="AD111" i="22"/>
  <c r="AD110" i="22"/>
  <c r="AD109" i="22"/>
  <c r="AD106" i="22"/>
  <c r="AD105" i="22"/>
  <c r="AD104" i="22"/>
  <c r="AD103" i="22"/>
  <c r="AD102" i="22"/>
  <c r="AD101" i="22"/>
  <c r="AD100" i="22"/>
  <c r="AD99" i="22"/>
  <c r="AD98" i="22"/>
  <c r="AD97" i="22"/>
  <c r="AD96" i="22"/>
  <c r="AD95" i="22"/>
  <c r="AD94" i="22"/>
  <c r="AD91" i="22"/>
  <c r="AD90" i="22"/>
  <c r="AD89" i="22"/>
  <c r="AD88" i="22"/>
  <c r="AD87" i="22"/>
  <c r="AD85" i="22"/>
  <c r="AD84" i="22"/>
  <c r="AD83" i="22"/>
  <c r="AD82" i="22"/>
  <c r="AD80" i="22"/>
  <c r="AD79" i="22"/>
  <c r="AD78" i="22"/>
  <c r="AD77" i="22"/>
  <c r="AD76" i="22"/>
  <c r="AD75" i="22"/>
  <c r="AD74" i="22"/>
  <c r="AD73" i="22"/>
  <c r="AD31" i="22"/>
  <c r="AD30" i="22"/>
  <c r="AD29" i="22"/>
  <c r="AD28" i="22"/>
  <c r="AD27" i="22"/>
  <c r="AD26" i="22"/>
  <c r="AD25" i="22"/>
  <c r="AD24" i="22"/>
  <c r="AD23" i="22"/>
  <c r="AD20" i="22"/>
  <c r="AD19" i="22"/>
  <c r="AD18" i="22"/>
  <c r="AD17" i="22"/>
  <c r="AD16" i="22"/>
  <c r="AD15" i="22"/>
  <c r="AD14" i="22"/>
  <c r="AD13" i="22"/>
  <c r="Z6" i="22"/>
  <c r="T6" i="32"/>
  <c r="K6" i="32"/>
  <c r="AD6" i="24"/>
  <c r="U6" i="24"/>
  <c r="L6" i="24"/>
  <c r="K53" i="26"/>
  <c r="K6" i="26"/>
  <c r="M6" i="23"/>
  <c r="B6" i="31"/>
  <c r="B5" i="31"/>
  <c r="B4" i="31"/>
  <c r="C6" i="32"/>
  <c r="C5" i="32"/>
  <c r="C4" i="32"/>
  <c r="C6" i="24"/>
  <c r="C5" i="24"/>
  <c r="C4" i="24"/>
  <c r="B6" i="26"/>
  <c r="B5" i="26"/>
  <c r="B4" i="26"/>
  <c r="B6" i="23"/>
  <c r="B5" i="23"/>
  <c r="B4" i="23"/>
  <c r="B5" i="22"/>
  <c r="K66" i="26" l="1"/>
  <c r="K62" i="26"/>
  <c r="K61" i="26"/>
  <c r="K67" i="26"/>
  <c r="K60" i="26"/>
  <c r="E61" i="23"/>
  <c r="D21" i="23"/>
  <c r="AK204" i="22" s="1"/>
  <c r="D20" i="23"/>
  <c r="AK122" i="22" s="1"/>
  <c r="D19" i="23"/>
  <c r="AK187" i="22" s="1"/>
  <c r="D18" i="23"/>
  <c r="D17" i="23"/>
  <c r="AK181" i="22" s="1"/>
  <c r="D16" i="23"/>
  <c r="AP178" i="22" s="1"/>
  <c r="D15" i="23"/>
  <c r="AK95" i="22" s="1"/>
  <c r="D14" i="23"/>
  <c r="AK28" i="22" s="1"/>
  <c r="D13" i="23"/>
  <c r="AK20" i="22" s="1"/>
  <c r="AK123" i="22" l="1"/>
  <c r="AP137" i="22"/>
  <c r="AP172" i="22"/>
  <c r="AP131" i="22"/>
  <c r="AP122" i="22"/>
  <c r="AP214" i="22"/>
  <c r="AP192" i="22"/>
  <c r="AP219" i="22"/>
  <c r="AK199" i="22"/>
  <c r="AP124" i="22"/>
  <c r="AP198" i="22"/>
  <c r="AK182" i="22"/>
  <c r="AK114" i="22"/>
  <c r="AP253" i="22"/>
  <c r="AP231" i="22"/>
  <c r="AK126" i="22"/>
  <c r="AK133" i="22"/>
  <c r="AK36" i="22"/>
  <c r="AK56" i="22"/>
  <c r="AK237" i="22"/>
  <c r="AP236" i="22"/>
  <c r="AP200" i="22"/>
  <c r="AP160" i="22"/>
  <c r="AP120" i="22"/>
  <c r="AP48" i="22"/>
  <c r="AP227" i="22"/>
  <c r="AP171" i="22"/>
  <c r="AP123" i="22"/>
  <c r="AP249" i="22"/>
  <c r="AP191" i="22"/>
  <c r="AP118" i="22"/>
  <c r="AP54" i="22"/>
  <c r="AP215" i="22"/>
  <c r="AP109" i="22"/>
  <c r="AK178" i="22"/>
  <c r="AK212" i="22"/>
  <c r="AK60" i="22"/>
  <c r="AK192" i="22"/>
  <c r="AK119" i="22"/>
  <c r="AK255" i="22"/>
  <c r="AK42" i="22"/>
  <c r="AK125" i="22"/>
  <c r="AK165" i="22"/>
  <c r="AP67" i="22"/>
  <c r="AP232" i="22"/>
  <c r="AP194" i="22"/>
  <c r="AP156" i="22"/>
  <c r="AP106" i="22"/>
  <c r="AP250" i="22"/>
  <c r="AP213" i="22"/>
  <c r="AP167" i="22"/>
  <c r="AP105" i="22"/>
  <c r="AP242" i="22"/>
  <c r="AP170" i="22"/>
  <c r="AP85" i="22"/>
  <c r="AP16" i="22"/>
  <c r="AP179" i="22"/>
  <c r="AK224" i="22"/>
  <c r="AK112" i="22"/>
  <c r="AK202" i="22"/>
  <c r="AK235" i="22"/>
  <c r="AK159" i="22"/>
  <c r="AK87" i="22"/>
  <c r="AK198" i="22"/>
  <c r="AK209" i="22"/>
  <c r="AK59" i="22"/>
  <c r="AK153" i="22"/>
  <c r="AP57" i="22"/>
  <c r="AP95" i="22"/>
  <c r="AP218" i="22"/>
  <c r="AP136" i="22"/>
  <c r="AP88" i="22"/>
  <c r="AP245" i="22"/>
  <c r="AP207" i="22"/>
  <c r="AP155" i="22"/>
  <c r="AP82" i="22"/>
  <c r="AP226" i="22"/>
  <c r="AP166" i="22"/>
  <c r="AP42" i="22"/>
  <c r="AP254" i="22"/>
  <c r="AP173" i="22"/>
  <c r="AK218" i="22"/>
  <c r="AK74" i="22"/>
  <c r="AK134" i="22"/>
  <c r="AK231" i="22"/>
  <c r="AK155" i="22"/>
  <c r="AK47" i="22"/>
  <c r="AK201" i="22"/>
  <c r="AK13" i="22"/>
  <c r="AT141" i="22"/>
  <c r="AK147" i="22"/>
  <c r="AK145" i="22"/>
  <c r="AK144" i="22"/>
  <c r="AK150" i="22"/>
  <c r="AK228" i="22"/>
  <c r="AP147" i="22"/>
  <c r="AP205" i="22"/>
  <c r="AP144" i="22"/>
  <c r="AP145" i="22"/>
  <c r="AK143" i="22"/>
  <c r="AK140" i="22"/>
  <c r="AK149" i="22"/>
  <c r="AP142" i="22"/>
  <c r="AP29" i="22"/>
  <c r="AP148" i="22"/>
  <c r="AS36" i="22"/>
  <c r="AK63" i="22"/>
  <c r="AK103" i="22"/>
  <c r="AK68" i="22"/>
  <c r="AK51" i="22"/>
  <c r="AK96" i="22"/>
  <c r="AK35" i="22"/>
  <c r="AK52" i="22"/>
  <c r="AK73" i="22"/>
  <c r="AK91" i="22"/>
  <c r="AK239" i="22"/>
  <c r="AK69" i="22"/>
  <c r="AK40" i="22"/>
  <c r="AK58" i="22"/>
  <c r="AK78" i="22"/>
  <c r="AK98" i="22"/>
  <c r="AP41" i="22"/>
  <c r="AP59" i="22"/>
  <c r="AP79" i="22"/>
  <c r="AP99" i="22"/>
  <c r="AP46" i="22"/>
  <c r="AP69" i="22"/>
  <c r="AP90" i="22"/>
  <c r="AP35" i="22"/>
  <c r="AP52" i="22"/>
  <c r="AP73" i="22"/>
  <c r="AP91" i="22"/>
  <c r="AK37" i="22"/>
  <c r="AK75" i="22"/>
  <c r="AK41" i="22"/>
  <c r="AK79" i="22"/>
  <c r="AK64" i="22"/>
  <c r="AK104" i="22"/>
  <c r="AK39" i="22"/>
  <c r="AK57" i="22"/>
  <c r="AK77" i="22"/>
  <c r="AK97" i="22"/>
  <c r="AK38" i="22"/>
  <c r="AK76" i="22"/>
  <c r="AK44" i="22"/>
  <c r="AK62" i="22"/>
  <c r="AK83" i="22"/>
  <c r="AK102" i="22"/>
  <c r="AP45" i="22"/>
  <c r="AP63" i="22"/>
  <c r="AP84" i="22"/>
  <c r="AP51" i="22"/>
  <c r="AP76" i="22"/>
  <c r="AP96" i="22"/>
  <c r="AP102" i="22"/>
  <c r="AP62" i="22"/>
  <c r="AP25" i="22"/>
  <c r="AP187" i="22"/>
  <c r="AP149" i="22"/>
  <c r="AP101" i="22"/>
  <c r="AP47" i="22"/>
  <c r="AP140" i="22"/>
  <c r="AP80" i="22"/>
  <c r="AP89" i="22"/>
  <c r="AP103" i="22"/>
  <c r="AK142" i="22"/>
  <c r="AK67" i="22"/>
  <c r="AK46" i="22"/>
  <c r="AK82" i="22"/>
  <c r="AK31" i="22"/>
  <c r="AK50" i="22"/>
  <c r="AK84" i="22"/>
  <c r="AK179" i="22"/>
  <c r="AK180" i="22"/>
  <c r="AP183" i="22"/>
  <c r="AP180" i="22"/>
  <c r="AK183" i="22"/>
  <c r="AK137" i="22"/>
  <c r="AK173" i="22"/>
  <c r="AK109" i="22"/>
  <c r="AK130" i="22"/>
  <c r="AK166" i="22"/>
  <c r="AK111" i="22"/>
  <c r="AK127" i="22"/>
  <c r="AK163" i="22"/>
  <c r="AK110" i="22"/>
  <c r="AK116" i="22"/>
  <c r="AK132" i="22"/>
  <c r="AK168" i="22"/>
  <c r="AP113" i="22"/>
  <c r="AP129" i="22"/>
  <c r="AP165" i="22"/>
  <c r="AP110" i="22"/>
  <c r="AP126" i="22"/>
  <c r="AP162" i="22"/>
  <c r="AP111" i="22"/>
  <c r="AP127" i="22"/>
  <c r="AK113" i="22"/>
  <c r="AK117" i="22"/>
  <c r="AK157" i="22"/>
  <c r="AK229" i="22"/>
  <c r="AK174" i="22"/>
  <c r="AK115" i="22"/>
  <c r="AK131" i="22"/>
  <c r="AK167" i="22"/>
  <c r="AK118" i="22"/>
  <c r="AK154" i="22"/>
  <c r="AK120" i="22"/>
  <c r="AK136" i="22"/>
  <c r="AK156" i="22"/>
  <c r="AK172" i="22"/>
  <c r="AP117" i="22"/>
  <c r="AP133" i="22"/>
  <c r="AP153" i="22"/>
  <c r="AP169" i="22"/>
  <c r="AP229" i="22"/>
  <c r="AP114" i="22"/>
  <c r="AP246" i="22"/>
  <c r="AP228" i="22"/>
  <c r="AP208" i="22"/>
  <c r="AP188" i="22"/>
  <c r="AP168" i="22"/>
  <c r="AP150" i="22"/>
  <c r="AP132" i="22"/>
  <c r="AP116" i="22"/>
  <c r="AP98" i="22"/>
  <c r="AP78" i="22"/>
  <c r="AP58" i="22"/>
  <c r="AP40" i="22"/>
  <c r="AP19" i="22"/>
  <c r="AP239" i="22"/>
  <c r="AP223" i="22"/>
  <c r="AP203" i="22"/>
  <c r="AP181" i="22"/>
  <c r="AP163" i="22"/>
  <c r="AP141" i="22"/>
  <c r="AP119" i="22"/>
  <c r="AP97" i="22"/>
  <c r="AP65" i="22"/>
  <c r="AP43" i="22"/>
  <c r="AP18" i="22"/>
  <c r="AP234" i="22"/>
  <c r="AP212" i="22"/>
  <c r="AP186" i="22"/>
  <c r="AP158" i="22"/>
  <c r="AP134" i="22"/>
  <c r="AP104" i="22"/>
  <c r="AP64" i="22"/>
  <c r="AP23" i="22"/>
  <c r="AP75" i="22"/>
  <c r="AP37" i="22"/>
  <c r="AP237" i="22"/>
  <c r="AP201" i="22"/>
  <c r="AP161" i="22"/>
  <c r="AP125" i="22"/>
  <c r="AK240" i="22"/>
  <c r="AK164" i="22"/>
  <c r="AK128" i="22"/>
  <c r="AK94" i="22"/>
  <c r="AK53" i="22"/>
  <c r="AK15" i="22"/>
  <c r="AK170" i="22"/>
  <c r="AK100" i="22"/>
  <c r="AP56" i="22"/>
  <c r="AK217" i="22"/>
  <c r="AK175" i="22"/>
  <c r="AK141" i="22"/>
  <c r="AK105" i="22"/>
  <c r="AK65" i="22"/>
  <c r="AK234" i="22"/>
  <c r="AK158" i="22"/>
  <c r="AK85" i="22"/>
  <c r="AK241" i="22"/>
  <c r="AK169" i="22"/>
  <c r="AK99" i="22"/>
  <c r="AK205" i="22"/>
  <c r="AK129" i="22"/>
  <c r="AK54" i="22"/>
  <c r="AT24" i="22"/>
  <c r="AK26" i="22"/>
  <c r="AK30" i="22"/>
  <c r="AK27" i="22"/>
  <c r="AP27" i="22"/>
  <c r="AK23" i="22"/>
  <c r="AK216" i="22"/>
  <c r="AK25" i="22"/>
  <c r="AP26" i="22"/>
  <c r="AP31" i="22"/>
  <c r="AP28" i="22"/>
  <c r="AP143" i="22"/>
  <c r="AK146" i="22"/>
  <c r="AP83" i="22"/>
  <c r="AP44" i="22"/>
  <c r="AP77" i="22"/>
  <c r="AP24" i="22"/>
  <c r="AP216" i="22"/>
  <c r="AP38" i="22"/>
  <c r="AP50" i="22"/>
  <c r="AK106" i="22"/>
  <c r="AK29" i="22"/>
  <c r="AK43" i="22"/>
  <c r="AK186" i="22"/>
  <c r="AS19" i="22"/>
  <c r="AK215" i="22"/>
  <c r="AK17" i="22"/>
  <c r="AK219" i="22"/>
  <c r="AK238" i="22"/>
  <c r="AK14" i="22"/>
  <c r="AK223" i="22"/>
  <c r="AK220" i="22"/>
  <c r="AK19" i="22"/>
  <c r="AP225" i="22"/>
  <c r="AP241" i="22"/>
  <c r="AP20" i="22"/>
  <c r="AP220" i="22"/>
  <c r="AP238" i="22"/>
  <c r="AP14" i="22"/>
  <c r="AK225" i="22"/>
  <c r="AK18" i="22"/>
  <c r="AK227" i="22"/>
  <c r="AK230" i="22"/>
  <c r="AK214" i="22"/>
  <c r="AK232" i="22"/>
  <c r="AP13" i="22"/>
  <c r="AL243" i="22"/>
  <c r="AJ243" i="22"/>
  <c r="AP243" i="22"/>
  <c r="AN243" i="22"/>
  <c r="AT243" i="22"/>
  <c r="AS243" i="22"/>
  <c r="AK243" i="22"/>
  <c r="AQ243" i="22"/>
  <c r="AO243" i="22"/>
  <c r="AG243" i="22"/>
  <c r="AM243" i="22"/>
  <c r="AU243" i="22"/>
  <c r="AR243" i="22"/>
  <c r="AH243" i="22"/>
  <c r="AI243" i="22"/>
  <c r="AK247" i="22"/>
  <c r="AK206" i="22"/>
  <c r="AK203" i="22"/>
  <c r="AK188" i="22"/>
  <c r="AK208" i="22"/>
  <c r="AK246" i="22"/>
  <c r="AP202" i="22"/>
  <c r="AK190" i="22"/>
  <c r="AK254" i="22"/>
  <c r="AK249" i="22"/>
  <c r="AK207" i="22"/>
  <c r="AK245" i="22"/>
  <c r="AK191" i="22"/>
  <c r="AK194" i="22"/>
  <c r="AK253" i="22"/>
  <c r="AP190" i="22"/>
  <c r="AP209" i="22"/>
  <c r="AP247" i="22"/>
  <c r="AP240" i="22"/>
  <c r="AP224" i="22"/>
  <c r="AP204" i="22"/>
  <c r="AP182" i="22"/>
  <c r="AP164" i="22"/>
  <c r="AP146" i="22"/>
  <c r="AP128" i="22"/>
  <c r="AP112" i="22"/>
  <c r="AP94" i="22"/>
  <c r="AP74" i="22"/>
  <c r="AP53" i="22"/>
  <c r="AP36" i="22"/>
  <c r="AP15" i="22"/>
  <c r="AP235" i="22"/>
  <c r="AP217" i="22"/>
  <c r="AP199" i="22"/>
  <c r="AP175" i="22"/>
  <c r="AP159" i="22"/>
  <c r="AP135" i="22"/>
  <c r="AP115" i="22"/>
  <c r="AP87" i="22"/>
  <c r="AP61" i="22"/>
  <c r="AP39" i="22"/>
  <c r="AP255" i="22"/>
  <c r="AP230" i="22"/>
  <c r="AP206" i="22"/>
  <c r="AP174" i="22"/>
  <c r="AP154" i="22"/>
  <c r="AP130" i="22"/>
  <c r="AP100" i="22"/>
  <c r="AP60" i="22"/>
  <c r="AP17" i="22"/>
  <c r="AP68" i="22"/>
  <c r="AP30" i="22"/>
  <c r="AP233" i="22"/>
  <c r="AP197" i="22"/>
  <c r="AP157" i="22"/>
  <c r="AP121" i="22"/>
  <c r="AK236" i="22"/>
  <c r="AK200" i="22"/>
  <c r="AK160" i="22"/>
  <c r="AK124" i="22"/>
  <c r="AK88" i="22"/>
  <c r="AK48" i="22"/>
  <c r="AK242" i="22"/>
  <c r="AK162" i="22"/>
  <c r="AK90" i="22"/>
  <c r="AK250" i="22"/>
  <c r="AK213" i="22"/>
  <c r="AK171" i="22"/>
  <c r="AK135" i="22"/>
  <c r="AK101" i="22"/>
  <c r="AK61" i="22"/>
  <c r="AK24" i="22"/>
  <c r="AK226" i="22"/>
  <c r="AK148" i="22"/>
  <c r="AK80" i="22"/>
  <c r="AK233" i="22"/>
  <c r="AK161" i="22"/>
  <c r="AK89" i="22"/>
  <c r="AK16" i="22"/>
  <c r="AK197" i="22"/>
  <c r="AK121" i="22"/>
  <c r="AK45" i="22"/>
  <c r="AS78" i="22"/>
  <c r="AS44" i="22"/>
  <c r="AS106" i="22"/>
  <c r="AT91" i="22"/>
  <c r="AT230" i="22"/>
  <c r="AS213" i="22"/>
  <c r="AS247" i="22"/>
  <c r="AS199" i="22"/>
  <c r="AS67" i="22"/>
  <c r="AS239" i="22"/>
  <c r="AS142" i="22"/>
  <c r="AH183" i="22"/>
  <c r="AI182" i="22"/>
  <c r="AG180" i="22"/>
  <c r="AH179" i="22"/>
  <c r="AI178" i="22"/>
  <c r="AJ180" i="22"/>
  <c r="AJ179" i="22"/>
  <c r="AJ178" i="22"/>
  <c r="AJ183" i="22"/>
  <c r="AJ182" i="22"/>
  <c r="AI180" i="22"/>
  <c r="AI179" i="22"/>
  <c r="AH178" i="22"/>
  <c r="AG183" i="22"/>
  <c r="AH182" i="22"/>
  <c r="AH180" i="22"/>
  <c r="AG178" i="22"/>
  <c r="AI183" i="22"/>
  <c r="AG179" i="22"/>
  <c r="AM183" i="22"/>
  <c r="AM182" i="22"/>
  <c r="AM180" i="22"/>
  <c r="AM179" i="22"/>
  <c r="AM178" i="22"/>
  <c r="AG182" i="22"/>
  <c r="AO183" i="22"/>
  <c r="AO182" i="22"/>
  <c r="AO180" i="22"/>
  <c r="AO179" i="22"/>
  <c r="AO178" i="22"/>
  <c r="AL182" i="22"/>
  <c r="AL180" i="22"/>
  <c r="AL178" i="22"/>
  <c r="AS183" i="22"/>
  <c r="AS178" i="22"/>
  <c r="AS180" i="22"/>
  <c r="AL183" i="22"/>
  <c r="AN183" i="22"/>
  <c r="AN179" i="22"/>
  <c r="AT179" i="22"/>
  <c r="AN182" i="22"/>
  <c r="AN180" i="22"/>
  <c r="AN178" i="22"/>
  <c r="AT182" i="22"/>
  <c r="AT180" i="22"/>
  <c r="AL179" i="22"/>
  <c r="AT178" i="22"/>
  <c r="AS179" i="22"/>
  <c r="AT183" i="22"/>
  <c r="AU217" i="22"/>
  <c r="AG229" i="22"/>
  <c r="AI217" i="22"/>
  <c r="AJ175" i="22"/>
  <c r="AG174" i="22"/>
  <c r="AH173" i="22"/>
  <c r="AI172" i="22"/>
  <c r="AJ171" i="22"/>
  <c r="AG170" i="22"/>
  <c r="AH169" i="22"/>
  <c r="AI168" i="22"/>
  <c r="AJ167" i="22"/>
  <c r="AG166" i="22"/>
  <c r="AH165" i="22"/>
  <c r="AI164" i="22"/>
  <c r="AJ163" i="22"/>
  <c r="AG162" i="22"/>
  <c r="AH161" i="22"/>
  <c r="AI160" i="22"/>
  <c r="AJ159" i="22"/>
  <c r="AG158" i="22"/>
  <c r="AH157" i="22"/>
  <c r="AH229" i="22"/>
  <c r="AJ217" i="22"/>
  <c r="AI175" i="22"/>
  <c r="AI174" i="22"/>
  <c r="AI173" i="22"/>
  <c r="AH172" i="22"/>
  <c r="AH171" i="22"/>
  <c r="AH170" i="22"/>
  <c r="AG169" i="22"/>
  <c r="AG168" i="22"/>
  <c r="AG167" i="22"/>
  <c r="AJ162" i="22"/>
  <c r="AJ161" i="22"/>
  <c r="AH217" i="22"/>
  <c r="AH175" i="22"/>
  <c r="AH174" i="22"/>
  <c r="AG173" i="22"/>
  <c r="AG172" i="22"/>
  <c r="AG171" i="22"/>
  <c r="AJ166" i="22"/>
  <c r="AJ165" i="22"/>
  <c r="AI229" i="22"/>
  <c r="AJ174" i="22"/>
  <c r="AJ172" i="22"/>
  <c r="AI170" i="22"/>
  <c r="AH168" i="22"/>
  <c r="AH166" i="22"/>
  <c r="AH164" i="22"/>
  <c r="AG163" i="22"/>
  <c r="AI161" i="22"/>
  <c r="AH160" i="22"/>
  <c r="AH159" i="22"/>
  <c r="AH158" i="22"/>
  <c r="AG157" i="22"/>
  <c r="AH156" i="22"/>
  <c r="AI155" i="22"/>
  <c r="AJ154" i="22"/>
  <c r="AG153" i="22"/>
  <c r="AG137" i="22"/>
  <c r="AH136" i="22"/>
  <c r="AI135" i="22"/>
  <c r="AJ134" i="22"/>
  <c r="AG133" i="22"/>
  <c r="AH132" i="22"/>
  <c r="AI131" i="22"/>
  <c r="AJ130" i="22"/>
  <c r="AG129" i="22"/>
  <c r="AH128" i="22"/>
  <c r="AI127" i="22"/>
  <c r="AJ126" i="22"/>
  <c r="AG125" i="22"/>
  <c r="AH124" i="22"/>
  <c r="AI123" i="22"/>
  <c r="AJ122" i="22"/>
  <c r="AG121" i="22"/>
  <c r="AH120" i="22"/>
  <c r="AI119" i="22"/>
  <c r="AJ118" i="22"/>
  <c r="AG117" i="22"/>
  <c r="AH116" i="22"/>
  <c r="AI115" i="22"/>
  <c r="AJ114" i="22"/>
  <c r="AG113" i="22"/>
  <c r="AH112" i="22"/>
  <c r="AI111" i="22"/>
  <c r="AJ110" i="22"/>
  <c r="AG109" i="22"/>
  <c r="AG217" i="22"/>
  <c r="AJ169" i="22"/>
  <c r="AI167" i="22"/>
  <c r="AI165" i="22"/>
  <c r="AG164" i="22"/>
  <c r="AI162" i="22"/>
  <c r="AG161" i="22"/>
  <c r="AG160" i="22"/>
  <c r="AG159" i="22"/>
  <c r="AG156" i="22"/>
  <c r="AH155" i="22"/>
  <c r="AI154" i="22"/>
  <c r="AJ153" i="22"/>
  <c r="AJ137" i="22"/>
  <c r="AG136" i="22"/>
  <c r="AH135" i="22"/>
  <c r="AI134" i="22"/>
  <c r="AJ133" i="22"/>
  <c r="AG132" i="22"/>
  <c r="AH131" i="22"/>
  <c r="AI130" i="22"/>
  <c r="AJ129" i="22"/>
  <c r="AG128" i="22"/>
  <c r="AH127" i="22"/>
  <c r="AI126" i="22"/>
  <c r="AJ125" i="22"/>
  <c r="AG124" i="22"/>
  <c r="AH123" i="22"/>
  <c r="AI122" i="22"/>
  <c r="AJ121" i="22"/>
  <c r="AG120" i="22"/>
  <c r="AH119" i="22"/>
  <c r="AI118" i="22"/>
  <c r="AJ117" i="22"/>
  <c r="AG116" i="22"/>
  <c r="AH115" i="22"/>
  <c r="AI114" i="22"/>
  <c r="AJ113" i="22"/>
  <c r="AG112" i="22"/>
  <c r="AH111" i="22"/>
  <c r="AI110" i="22"/>
  <c r="AJ109" i="22"/>
  <c r="AG175" i="22"/>
  <c r="AJ170" i="22"/>
  <c r="AJ168" i="22"/>
  <c r="AI166" i="22"/>
  <c r="AJ164" i="22"/>
  <c r="AH163" i="22"/>
  <c r="AJ160" i="22"/>
  <c r="AI159" i="22"/>
  <c r="AI158" i="22"/>
  <c r="AI157" i="22"/>
  <c r="AI156" i="22"/>
  <c r="AJ155" i="22"/>
  <c r="AG154" i="22"/>
  <c r="AH153" i="22"/>
  <c r="AH137" i="22"/>
  <c r="AI136" i="22"/>
  <c r="AJ135" i="22"/>
  <c r="AG134" i="22"/>
  <c r="AH133" i="22"/>
  <c r="AI132" i="22"/>
  <c r="AJ131" i="22"/>
  <c r="AG130" i="22"/>
  <c r="AH129" i="22"/>
  <c r="AI128" i="22"/>
  <c r="AJ127" i="22"/>
  <c r="AG126" i="22"/>
  <c r="AH125" i="22"/>
  <c r="AI124" i="22"/>
  <c r="AJ123" i="22"/>
  <c r="AG122" i="22"/>
  <c r="AH121" i="22"/>
  <c r="AI120" i="22"/>
  <c r="AJ119" i="22"/>
  <c r="AG118" i="22"/>
  <c r="AH117" i="22"/>
  <c r="AI116" i="22"/>
  <c r="AJ115" i="22"/>
  <c r="AG114" i="22"/>
  <c r="AH113" i="22"/>
  <c r="AI112" i="22"/>
  <c r="AJ111" i="22"/>
  <c r="AG110" i="22"/>
  <c r="AH109" i="22"/>
  <c r="AI169" i="22"/>
  <c r="AH162" i="22"/>
  <c r="AJ157" i="22"/>
  <c r="AH154" i="22"/>
  <c r="AI137" i="22"/>
  <c r="AH134" i="22"/>
  <c r="AG131" i="22"/>
  <c r="AJ124" i="22"/>
  <c r="AI121" i="22"/>
  <c r="AH118" i="22"/>
  <c r="AG115" i="22"/>
  <c r="AJ229" i="22"/>
  <c r="AH167" i="22"/>
  <c r="AJ156" i="22"/>
  <c r="AI153" i="22"/>
  <c r="AJ136" i="22"/>
  <c r="AI133" i="22"/>
  <c r="AH130" i="22"/>
  <c r="AG127" i="22"/>
  <c r="AJ120" i="22"/>
  <c r="AI117" i="22"/>
  <c r="AH114" i="22"/>
  <c r="AG111" i="22"/>
  <c r="AM229" i="22"/>
  <c r="AM217" i="22"/>
  <c r="AM175" i="22"/>
  <c r="AM174" i="22"/>
  <c r="AM173" i="22"/>
  <c r="AM172" i="22"/>
  <c r="AM171" i="22"/>
  <c r="AI171" i="22"/>
  <c r="AI163" i="22"/>
  <c r="AJ158" i="22"/>
  <c r="AG155" i="22"/>
  <c r="AG135" i="22"/>
  <c r="AJ128" i="22"/>
  <c r="AI125" i="22"/>
  <c r="AH122" i="22"/>
  <c r="AG119" i="22"/>
  <c r="AJ112" i="22"/>
  <c r="AI109" i="22"/>
  <c r="AO229" i="22"/>
  <c r="AO217" i="22"/>
  <c r="AO175" i="22"/>
  <c r="AO174" i="22"/>
  <c r="AO173" i="22"/>
  <c r="AO172" i="22"/>
  <c r="AO171" i="22"/>
  <c r="AO170" i="22"/>
  <c r="AO169" i="22"/>
  <c r="AO168" i="22"/>
  <c r="AO167" i="22"/>
  <c r="AJ173" i="22"/>
  <c r="AG123" i="22"/>
  <c r="AH110" i="22"/>
  <c r="AL229" i="22"/>
  <c r="AL217" i="22"/>
  <c r="AL174" i="22"/>
  <c r="AL172" i="22"/>
  <c r="AM170" i="22"/>
  <c r="AL169" i="22"/>
  <c r="AN167" i="22"/>
  <c r="AN166" i="22"/>
  <c r="AN165" i="22"/>
  <c r="AN164" i="22"/>
  <c r="AN163" i="22"/>
  <c r="AN162" i="22"/>
  <c r="AN161" i="22"/>
  <c r="AN160" i="22"/>
  <c r="AN159" i="22"/>
  <c r="AN158" i="22"/>
  <c r="AN157" i="22"/>
  <c r="AN156" i="22"/>
  <c r="AN155" i="22"/>
  <c r="AN154" i="22"/>
  <c r="AN153" i="22"/>
  <c r="AN137" i="22"/>
  <c r="AN136" i="22"/>
  <c r="AN135" i="22"/>
  <c r="AN134" i="22"/>
  <c r="AN133" i="22"/>
  <c r="AN132" i="22"/>
  <c r="AN131" i="22"/>
  <c r="AN130" i="22"/>
  <c r="AN129" i="22"/>
  <c r="AN128" i="22"/>
  <c r="AN127" i="22"/>
  <c r="AN126" i="22"/>
  <c r="AN125" i="22"/>
  <c r="AN124" i="22"/>
  <c r="AN123" i="22"/>
  <c r="AN122" i="22"/>
  <c r="AN121" i="22"/>
  <c r="AN120" i="22"/>
  <c r="AN119" i="22"/>
  <c r="AN118" i="22"/>
  <c r="AN117" i="22"/>
  <c r="AN116" i="22"/>
  <c r="AN115" i="22"/>
  <c r="AN114" i="22"/>
  <c r="AN113" i="22"/>
  <c r="AN112" i="22"/>
  <c r="AN111" i="22"/>
  <c r="AN110" i="22"/>
  <c r="AN109" i="22"/>
  <c r="AS173" i="22"/>
  <c r="AS165" i="22"/>
  <c r="AS157" i="22"/>
  <c r="AS137" i="22"/>
  <c r="AS131" i="22"/>
  <c r="AS123" i="22"/>
  <c r="AS115" i="22"/>
  <c r="AT169" i="22"/>
  <c r="AT161" i="22"/>
  <c r="AT155" i="22"/>
  <c r="AT133" i="22"/>
  <c r="AT127" i="22"/>
  <c r="AT118" i="22"/>
  <c r="AT112" i="22"/>
  <c r="AS154" i="22"/>
  <c r="AS118" i="22"/>
  <c r="AT134" i="22"/>
  <c r="AT170" i="22"/>
  <c r="AT229" i="22"/>
  <c r="AS126" i="22"/>
  <c r="AS162" i="22"/>
  <c r="AI129" i="22"/>
  <c r="AL175" i="22"/>
  <c r="AN169" i="22"/>
  <c r="AL166" i="22"/>
  <c r="AL163" i="22"/>
  <c r="AL160" i="22"/>
  <c r="AL157" i="22"/>
  <c r="AL154" i="22"/>
  <c r="AL135" i="22"/>
  <c r="AL132" i="22"/>
  <c r="AL129" i="22"/>
  <c r="AL126" i="22"/>
  <c r="AL123" i="22"/>
  <c r="AL120" i="22"/>
  <c r="AL117" i="22"/>
  <c r="AL114" i="22"/>
  <c r="AL111" i="22"/>
  <c r="AG165" i="22"/>
  <c r="AJ132" i="22"/>
  <c r="AN175" i="22"/>
  <c r="AN173" i="22"/>
  <c r="AN171" i="22"/>
  <c r="AL170" i="22"/>
  <c r="AN168" i="22"/>
  <c r="AM167" i="22"/>
  <c r="AM166" i="22"/>
  <c r="AM165" i="22"/>
  <c r="AM164" i="22"/>
  <c r="AM163" i="22"/>
  <c r="AM162" i="22"/>
  <c r="AM161" i="22"/>
  <c r="AM160" i="22"/>
  <c r="AM159" i="22"/>
  <c r="AM158" i="22"/>
  <c r="AM157" i="22"/>
  <c r="AM156" i="22"/>
  <c r="AM155" i="22"/>
  <c r="AM154" i="22"/>
  <c r="AM153" i="22"/>
  <c r="AM137" i="22"/>
  <c r="AM136" i="22"/>
  <c r="AM135" i="22"/>
  <c r="AM134" i="22"/>
  <c r="AM133" i="22"/>
  <c r="AM132" i="22"/>
  <c r="AM131" i="22"/>
  <c r="AM130" i="22"/>
  <c r="AM129" i="22"/>
  <c r="AM128" i="22"/>
  <c r="AM127" i="22"/>
  <c r="AM126" i="22"/>
  <c r="AM125" i="22"/>
  <c r="AM124" i="22"/>
  <c r="AM123" i="22"/>
  <c r="AM122" i="22"/>
  <c r="AM121" i="22"/>
  <c r="AM120" i="22"/>
  <c r="AM119" i="22"/>
  <c r="AM118" i="22"/>
  <c r="AM117" i="22"/>
  <c r="AM116" i="22"/>
  <c r="AM115" i="22"/>
  <c r="AM114" i="22"/>
  <c r="AM113" i="22"/>
  <c r="AM112" i="22"/>
  <c r="AM111" i="22"/>
  <c r="AM110" i="22"/>
  <c r="AM109" i="22"/>
  <c r="AS171" i="22"/>
  <c r="AS163" i="22"/>
  <c r="AS155" i="22"/>
  <c r="AS135" i="22"/>
  <c r="AS129" i="22"/>
  <c r="AS121" i="22"/>
  <c r="AS113" i="22"/>
  <c r="AS120" i="22"/>
  <c r="AT166" i="22"/>
  <c r="AT160" i="22"/>
  <c r="AT154" i="22"/>
  <c r="AT132" i="22"/>
  <c r="AT125" i="22"/>
  <c r="AT117" i="22"/>
  <c r="AT110" i="22"/>
  <c r="AS174" i="22"/>
  <c r="AS110" i="22"/>
  <c r="AT114" i="22"/>
  <c r="AT172" i="22"/>
  <c r="AS114" i="22"/>
  <c r="AT126" i="22"/>
  <c r="AS170" i="22"/>
  <c r="AJ116" i="22"/>
  <c r="AL173" i="22"/>
  <c r="AM168" i="22"/>
  <c r="AL165" i="22"/>
  <c r="AL162" i="22"/>
  <c r="AL159" i="22"/>
  <c r="AL156" i="22"/>
  <c r="AL153" i="22"/>
  <c r="AL137" i="22"/>
  <c r="AL134" i="22"/>
  <c r="AL131" i="22"/>
  <c r="AL128" i="22"/>
  <c r="AL125" i="22"/>
  <c r="AL122" i="22"/>
  <c r="AL119" i="22"/>
  <c r="AL116" i="22"/>
  <c r="AL113" i="22"/>
  <c r="AL110" i="22"/>
  <c r="AH126" i="22"/>
  <c r="AI113" i="22"/>
  <c r="AN229" i="22"/>
  <c r="AN217" i="22"/>
  <c r="AN174" i="22"/>
  <c r="AN172" i="22"/>
  <c r="AN170" i="22"/>
  <c r="AM169" i="22"/>
  <c r="AL168" i="22"/>
  <c r="AO166" i="22"/>
  <c r="AO165" i="22"/>
  <c r="AO164" i="22"/>
  <c r="AO163" i="22"/>
  <c r="AO162" i="22"/>
  <c r="AO161" i="22"/>
  <c r="AO160" i="22"/>
  <c r="AO159" i="22"/>
  <c r="AO158" i="22"/>
  <c r="AO157" i="22"/>
  <c r="AO156" i="22"/>
  <c r="AO155" i="22"/>
  <c r="AO154" i="22"/>
  <c r="AO153" i="22"/>
  <c r="AO137" i="22"/>
  <c r="AO136" i="22"/>
  <c r="AO135" i="22"/>
  <c r="AO134" i="22"/>
  <c r="AO133" i="22"/>
  <c r="AO132" i="22"/>
  <c r="AO131" i="22"/>
  <c r="AO130" i="22"/>
  <c r="AO129" i="22"/>
  <c r="AO128" i="22"/>
  <c r="AO127" i="22"/>
  <c r="AO126" i="22"/>
  <c r="AO125" i="22"/>
  <c r="AO124" i="22"/>
  <c r="AO123" i="22"/>
  <c r="AO122" i="22"/>
  <c r="AO121" i="22"/>
  <c r="AO120" i="22"/>
  <c r="AO119" i="22"/>
  <c r="AO118" i="22"/>
  <c r="AO117" i="22"/>
  <c r="AO116" i="22"/>
  <c r="AO115" i="22"/>
  <c r="AO114" i="22"/>
  <c r="AO113" i="22"/>
  <c r="AO112" i="22"/>
  <c r="AO111" i="22"/>
  <c r="AO110" i="22"/>
  <c r="AO109" i="22"/>
  <c r="AS175" i="22"/>
  <c r="AS167" i="22"/>
  <c r="AS159" i="22"/>
  <c r="AS132" i="22"/>
  <c r="AS125" i="22"/>
  <c r="AS117" i="22"/>
  <c r="AS109" i="22"/>
  <c r="AS217" i="22"/>
  <c r="AT171" i="22"/>
  <c r="AT162" i="22"/>
  <c r="AT156" i="22"/>
  <c r="AT136" i="22"/>
  <c r="AT129" i="22"/>
  <c r="AT121" i="22"/>
  <c r="AT113" i="22"/>
  <c r="AS229" i="22"/>
  <c r="AT165" i="22"/>
  <c r="AS130" i="22"/>
  <c r="AT120" i="22"/>
  <c r="AT168" i="22"/>
  <c r="AT124" i="22"/>
  <c r="AS134" i="22"/>
  <c r="AS160" i="22"/>
  <c r="AL171" i="22"/>
  <c r="AL167" i="22"/>
  <c r="AL164" i="22"/>
  <c r="AL161" i="22"/>
  <c r="AL158" i="22"/>
  <c r="AL155" i="22"/>
  <c r="AL136" i="22"/>
  <c r="AL133" i="22"/>
  <c r="AL130" i="22"/>
  <c r="AL127" i="22"/>
  <c r="AL124" i="22"/>
  <c r="AL121" i="22"/>
  <c r="AL118" i="22"/>
  <c r="AL115" i="22"/>
  <c r="AL112" i="22"/>
  <c r="AL109" i="22"/>
  <c r="AS153" i="22"/>
  <c r="AS119" i="22"/>
  <c r="AT164" i="22"/>
  <c r="AT137" i="22"/>
  <c r="AT109" i="22"/>
  <c r="AT157" i="22"/>
  <c r="AS122" i="22"/>
  <c r="AS111" i="22"/>
  <c r="AT130" i="22"/>
  <c r="AS166" i="22"/>
  <c r="AT174" i="22"/>
  <c r="AT217" i="22"/>
  <c r="AT122" i="22"/>
  <c r="AT128" i="22"/>
  <c r="AS169" i="22"/>
  <c r="AT153" i="22"/>
  <c r="AS161" i="22"/>
  <c r="AS127" i="22"/>
  <c r="AT173" i="22"/>
  <c r="AT115" i="22"/>
  <c r="AT116" i="22"/>
  <c r="AT158" i="22"/>
  <c r="AS133" i="22"/>
  <c r="AS158" i="22"/>
  <c r="AS182" i="22"/>
  <c r="AH240" i="22"/>
  <c r="AI239" i="22"/>
  <c r="AI235" i="22"/>
  <c r="AJ234" i="22"/>
  <c r="AJ235" i="22"/>
  <c r="AI234" i="22"/>
  <c r="AJ240" i="22"/>
  <c r="AJ239" i="22"/>
  <c r="AH235" i="22"/>
  <c r="AH234" i="22"/>
  <c r="AG240" i="22"/>
  <c r="AG239" i="22"/>
  <c r="AI240" i="22"/>
  <c r="AH106" i="22"/>
  <c r="AI105" i="22"/>
  <c r="AJ104" i="22"/>
  <c r="AG103" i="22"/>
  <c r="AH102" i="22"/>
  <c r="AI101" i="22"/>
  <c r="AJ100" i="22"/>
  <c r="AG99" i="22"/>
  <c r="AH98" i="22"/>
  <c r="AI97" i="22"/>
  <c r="AJ96" i="22"/>
  <c r="AG95" i="22"/>
  <c r="AH94" i="22"/>
  <c r="AI91" i="22"/>
  <c r="AJ90" i="22"/>
  <c r="AG89" i="22"/>
  <c r="AH88" i="22"/>
  <c r="AI87" i="22"/>
  <c r="AJ85" i="22"/>
  <c r="AG84" i="22"/>
  <c r="AH83" i="22"/>
  <c r="AI82" i="22"/>
  <c r="AJ80" i="22"/>
  <c r="AG79" i="22"/>
  <c r="AH78" i="22"/>
  <c r="AI77" i="22"/>
  <c r="AJ76" i="22"/>
  <c r="AG75" i="22"/>
  <c r="AH74" i="22"/>
  <c r="AI73" i="22"/>
  <c r="AJ69" i="22"/>
  <c r="AG68" i="22"/>
  <c r="AH67" i="22"/>
  <c r="AI65" i="22"/>
  <c r="AJ64" i="22"/>
  <c r="AG63" i="22"/>
  <c r="AH62" i="22"/>
  <c r="AI61" i="22"/>
  <c r="AJ60" i="22"/>
  <c r="AG59" i="22"/>
  <c r="AH58" i="22"/>
  <c r="AI57" i="22"/>
  <c r="AJ56" i="22"/>
  <c r="AG54" i="22"/>
  <c r="AH53" i="22"/>
  <c r="AI52" i="22"/>
  <c r="AJ51" i="22"/>
  <c r="AG50" i="22"/>
  <c r="AH48" i="22"/>
  <c r="AI47" i="22"/>
  <c r="AJ46" i="22"/>
  <c r="AG45" i="22"/>
  <c r="AH44" i="22"/>
  <c r="AI43" i="22"/>
  <c r="AJ42" i="22"/>
  <c r="AG41" i="22"/>
  <c r="AH40" i="22"/>
  <c r="AI39" i="22"/>
  <c r="AJ38" i="22"/>
  <c r="AG37" i="22"/>
  <c r="AH239" i="22"/>
  <c r="AG235" i="22"/>
  <c r="AG106" i="22"/>
  <c r="AH105" i="22"/>
  <c r="AI104" i="22"/>
  <c r="AJ103" i="22"/>
  <c r="AG102" i="22"/>
  <c r="AH101" i="22"/>
  <c r="AI100" i="22"/>
  <c r="AI106" i="22"/>
  <c r="AJ105" i="22"/>
  <c r="AG104" i="22"/>
  <c r="AH103" i="22"/>
  <c r="AI102" i="22"/>
  <c r="AJ101" i="22"/>
  <c r="AG100" i="22"/>
  <c r="AH99" i="22"/>
  <c r="AI98" i="22"/>
  <c r="AJ97" i="22"/>
  <c r="AG96" i="22"/>
  <c r="AH95" i="22"/>
  <c r="AI94" i="22"/>
  <c r="AG234" i="22"/>
  <c r="AJ106" i="22"/>
  <c r="AI103" i="22"/>
  <c r="AH100" i="22"/>
  <c r="AJ98" i="22"/>
  <c r="AG97" i="22"/>
  <c r="AI95" i="22"/>
  <c r="AJ89" i="22"/>
  <c r="AJ88" i="22"/>
  <c r="AJ87" i="22"/>
  <c r="AI85" i="22"/>
  <c r="AI84" i="22"/>
  <c r="AI83" i="22"/>
  <c r="AH82" i="22"/>
  <c r="AH80" i="22"/>
  <c r="AH79" i="22"/>
  <c r="AG78" i="22"/>
  <c r="AG77" i="22"/>
  <c r="AG76" i="22"/>
  <c r="AJ68" i="22"/>
  <c r="AJ67" i="22"/>
  <c r="AJ65" i="22"/>
  <c r="AI64" i="22"/>
  <c r="AI63" i="22"/>
  <c r="AI62" i="22"/>
  <c r="AH61" i="22"/>
  <c r="AH60" i="22"/>
  <c r="AH59" i="22"/>
  <c r="AG58" i="22"/>
  <c r="AG57" i="22"/>
  <c r="AG56" i="22"/>
  <c r="AJ50" i="22"/>
  <c r="AJ48" i="22"/>
  <c r="AJ47" i="22"/>
  <c r="AI46" i="22"/>
  <c r="AI45" i="22"/>
  <c r="AI44" i="22"/>
  <c r="AH43" i="22"/>
  <c r="AH42" i="22"/>
  <c r="AH41" i="22"/>
  <c r="AG40" i="22"/>
  <c r="AG39" i="22"/>
  <c r="AG38" i="22"/>
  <c r="AG36" i="22"/>
  <c r="AH35" i="22"/>
  <c r="AJ102" i="22"/>
  <c r="AJ99" i="22"/>
  <c r="AG98" i="22"/>
  <c r="AI96" i="22"/>
  <c r="AJ91" i="22"/>
  <c r="AI90" i="22"/>
  <c r="AI89" i="22"/>
  <c r="AI88" i="22"/>
  <c r="AH87" i="22"/>
  <c r="AH85" i="22"/>
  <c r="AH84" i="22"/>
  <c r="AG83" i="22"/>
  <c r="AG82" i="22"/>
  <c r="AG80" i="22"/>
  <c r="AJ75" i="22"/>
  <c r="AJ74" i="22"/>
  <c r="AJ73" i="22"/>
  <c r="AI69" i="22"/>
  <c r="AI68" i="22"/>
  <c r="AI67" i="22"/>
  <c r="AH65" i="22"/>
  <c r="AH64" i="22"/>
  <c r="AH63" i="22"/>
  <c r="AG62" i="22"/>
  <c r="AG61" i="22"/>
  <c r="AG60" i="22"/>
  <c r="AJ54" i="22"/>
  <c r="AJ53" i="22"/>
  <c r="AJ52" i="22"/>
  <c r="AI51" i="22"/>
  <c r="AI50" i="22"/>
  <c r="AI48" i="22"/>
  <c r="AH47" i="22"/>
  <c r="AH46" i="22"/>
  <c r="AH45" i="22"/>
  <c r="AG44" i="22"/>
  <c r="AG43" i="22"/>
  <c r="AG42" i="22"/>
  <c r="AJ37" i="22"/>
  <c r="AJ36" i="22"/>
  <c r="AG35" i="22"/>
  <c r="AM240" i="22"/>
  <c r="AM239" i="22"/>
  <c r="AM235" i="22"/>
  <c r="AM234" i="22"/>
  <c r="AH104" i="22"/>
  <c r="AG101" i="22"/>
  <c r="AH97" i="22"/>
  <c r="AJ95" i="22"/>
  <c r="AG94" i="22"/>
  <c r="AG91" i="22"/>
  <c r="AG90" i="22"/>
  <c r="AJ84" i="22"/>
  <c r="AJ83" i="22"/>
  <c r="AJ82" i="22"/>
  <c r="AI80" i="22"/>
  <c r="AI79" i="22"/>
  <c r="AI78" i="22"/>
  <c r="AH77" i="22"/>
  <c r="AH76" i="22"/>
  <c r="AH75" i="22"/>
  <c r="AG74" i="22"/>
  <c r="AG73" i="22"/>
  <c r="AG69" i="22"/>
  <c r="AJ63" i="22"/>
  <c r="AJ62" i="22"/>
  <c r="AJ61" i="22"/>
  <c r="AI60" i="22"/>
  <c r="AI59" i="22"/>
  <c r="AI58" i="22"/>
  <c r="AH57" i="22"/>
  <c r="AH56" i="22"/>
  <c r="AH54" i="22"/>
  <c r="AG53" i="22"/>
  <c r="AG52" i="22"/>
  <c r="AG51" i="22"/>
  <c r="AJ45" i="22"/>
  <c r="AJ44" i="22"/>
  <c r="AJ43" i="22"/>
  <c r="AI42" i="22"/>
  <c r="AI41" i="22"/>
  <c r="AI40" i="22"/>
  <c r="AH39" i="22"/>
  <c r="AH38" i="22"/>
  <c r="AH37" i="22"/>
  <c r="AH36" i="22"/>
  <c r="AI35" i="22"/>
  <c r="AO240" i="22"/>
  <c r="AO239" i="22"/>
  <c r="AO235" i="22"/>
  <c r="AO234" i="22"/>
  <c r="AH90" i="22"/>
  <c r="AG85" i="22"/>
  <c r="AJ79" i="22"/>
  <c r="AI75" i="22"/>
  <c r="AH68" i="22"/>
  <c r="AJ58" i="22"/>
  <c r="AI53" i="22"/>
  <c r="AG48" i="22"/>
  <c r="AJ39" i="22"/>
  <c r="AJ35" i="22"/>
  <c r="AL239" i="22"/>
  <c r="AL235" i="22"/>
  <c r="AN106" i="22"/>
  <c r="AN105" i="22"/>
  <c r="AN104" i="22"/>
  <c r="AN103" i="22"/>
  <c r="AN102" i="22"/>
  <c r="AN101" i="22"/>
  <c r="AN100" i="22"/>
  <c r="AN99" i="22"/>
  <c r="AN98" i="22"/>
  <c r="AN97" i="22"/>
  <c r="AN96" i="22"/>
  <c r="AN95" i="22"/>
  <c r="AN94" i="22"/>
  <c r="AN91" i="22"/>
  <c r="AN90" i="22"/>
  <c r="AN89" i="22"/>
  <c r="AN88" i="22"/>
  <c r="AN87" i="22"/>
  <c r="AN85" i="22"/>
  <c r="AN84" i="22"/>
  <c r="AN83" i="22"/>
  <c r="AN82" i="22"/>
  <c r="AN80" i="22"/>
  <c r="AN79" i="22"/>
  <c r="AN78" i="22"/>
  <c r="AN77" i="22"/>
  <c r="AN76" i="22"/>
  <c r="AN75" i="22"/>
  <c r="AN74" i="22"/>
  <c r="AN73" i="22"/>
  <c r="AN69" i="22"/>
  <c r="AN68" i="22"/>
  <c r="AN67" i="22"/>
  <c r="AN65" i="22"/>
  <c r="AN64" i="22"/>
  <c r="AN63" i="22"/>
  <c r="AN62" i="22"/>
  <c r="AN61" i="22"/>
  <c r="AN60" i="22"/>
  <c r="AN59" i="22"/>
  <c r="AN58" i="22"/>
  <c r="AN57" i="22"/>
  <c r="AN56" i="22"/>
  <c r="AN54" i="22"/>
  <c r="AN53" i="22"/>
  <c r="AN52" i="22"/>
  <c r="AN51" i="22"/>
  <c r="AN50" i="22"/>
  <c r="AN48" i="22"/>
  <c r="AN47" i="22"/>
  <c r="AN46" i="22"/>
  <c r="AN45" i="22"/>
  <c r="AN44" i="22"/>
  <c r="AN43" i="22"/>
  <c r="AN42" i="22"/>
  <c r="AN41" i="22"/>
  <c r="AN40" i="22"/>
  <c r="AN39" i="22"/>
  <c r="AN38" i="22"/>
  <c r="AN37" i="22"/>
  <c r="AN36" i="22"/>
  <c r="AN35" i="22"/>
  <c r="AS105" i="22"/>
  <c r="AS97" i="22"/>
  <c r="AS87" i="22"/>
  <c r="AS77" i="22"/>
  <c r="AS68" i="22"/>
  <c r="AS59" i="22"/>
  <c r="AS51" i="22"/>
  <c r="AS43" i="22"/>
  <c r="AS37" i="22"/>
  <c r="AT239" i="22"/>
  <c r="AT101" i="22"/>
  <c r="AT94" i="22"/>
  <c r="AT80" i="22"/>
  <c r="AT74" i="22"/>
  <c r="AT62" i="22"/>
  <c r="AT58" i="22"/>
  <c r="AT50" i="22"/>
  <c r="AT42" i="22"/>
  <c r="AT36" i="22"/>
  <c r="AS96" i="22"/>
  <c r="AT63" i="22"/>
  <c r="AT44" i="22"/>
  <c r="AT85" i="22"/>
  <c r="AT104" i="22"/>
  <c r="AS60" i="22"/>
  <c r="AS88" i="22"/>
  <c r="AT106" i="22"/>
  <c r="AJ94" i="22"/>
  <c r="AG88" i="22"/>
  <c r="AJ77" i="22"/>
  <c r="AG65" i="22"/>
  <c r="AH51" i="22"/>
  <c r="AJ41" i="22"/>
  <c r="AL240" i="22"/>
  <c r="AL234" i="22"/>
  <c r="AL106" i="22"/>
  <c r="AL103" i="22"/>
  <c r="AL100" i="22"/>
  <c r="AL97" i="22"/>
  <c r="AL94" i="22"/>
  <c r="AL89" i="22"/>
  <c r="AL85" i="22"/>
  <c r="AL82" i="22"/>
  <c r="AL78" i="22"/>
  <c r="AL75" i="22"/>
  <c r="AL69" i="22"/>
  <c r="AL65" i="22"/>
  <c r="AL62" i="22"/>
  <c r="AL59" i="22"/>
  <c r="AL56" i="22"/>
  <c r="AL52" i="22"/>
  <c r="AL48" i="22"/>
  <c r="AL45" i="22"/>
  <c r="AG105" i="22"/>
  <c r="AH96" i="22"/>
  <c r="AH89" i="22"/>
  <c r="AJ78" i="22"/>
  <c r="AI74" i="22"/>
  <c r="AG67" i="22"/>
  <c r="AJ57" i="22"/>
  <c r="AH52" i="22"/>
  <c r="AG47" i="22"/>
  <c r="AI38" i="22"/>
  <c r="AN240" i="22"/>
  <c r="AN234" i="22"/>
  <c r="AM106" i="22"/>
  <c r="AM105" i="22"/>
  <c r="AM104" i="22"/>
  <c r="AM103" i="22"/>
  <c r="AM102" i="22"/>
  <c r="AM101" i="22"/>
  <c r="AM100" i="22"/>
  <c r="AM99" i="22"/>
  <c r="AM98" i="22"/>
  <c r="AM97" i="22"/>
  <c r="AM96" i="22"/>
  <c r="AM95" i="22"/>
  <c r="AM94" i="22"/>
  <c r="AM91" i="22"/>
  <c r="AM90" i="22"/>
  <c r="AM89" i="22"/>
  <c r="AM88" i="22"/>
  <c r="AM87" i="22"/>
  <c r="AM85" i="22"/>
  <c r="AM84" i="22"/>
  <c r="AM83" i="22"/>
  <c r="AM82" i="22"/>
  <c r="AM80" i="22"/>
  <c r="AM79" i="22"/>
  <c r="AM78" i="22"/>
  <c r="AM77" i="22"/>
  <c r="AM76" i="22"/>
  <c r="AM75" i="22"/>
  <c r="AM74" i="22"/>
  <c r="AM73" i="22"/>
  <c r="AM69" i="22"/>
  <c r="AM68" i="22"/>
  <c r="AM67" i="22"/>
  <c r="AM65" i="22"/>
  <c r="AM64" i="22"/>
  <c r="AM63" i="22"/>
  <c r="AM62" i="22"/>
  <c r="AM61" i="22"/>
  <c r="AM60" i="22"/>
  <c r="AM59" i="22"/>
  <c r="AM58" i="22"/>
  <c r="AM57" i="22"/>
  <c r="AM56" i="22"/>
  <c r="AM54" i="22"/>
  <c r="AM53" i="22"/>
  <c r="AM52" i="22"/>
  <c r="AM51" i="22"/>
  <c r="AM50" i="22"/>
  <c r="AM48" i="22"/>
  <c r="AM47" i="22"/>
  <c r="AM46" i="22"/>
  <c r="AM45" i="22"/>
  <c r="AM44" i="22"/>
  <c r="AM43" i="22"/>
  <c r="AM42" i="22"/>
  <c r="AM41" i="22"/>
  <c r="AM40" i="22"/>
  <c r="AM39" i="22"/>
  <c r="AM38" i="22"/>
  <c r="AM37" i="22"/>
  <c r="AM36" i="22"/>
  <c r="AM35" i="22"/>
  <c r="AS103" i="22"/>
  <c r="AS95" i="22"/>
  <c r="AS84" i="22"/>
  <c r="AS75" i="22"/>
  <c r="AS65" i="22"/>
  <c r="AS57" i="22"/>
  <c r="AS50" i="22"/>
  <c r="AS41" i="22"/>
  <c r="AS35" i="22"/>
  <c r="AT235" i="22"/>
  <c r="AT99" i="22"/>
  <c r="AT89" i="22"/>
  <c r="AT79" i="22"/>
  <c r="AT68" i="22"/>
  <c r="AT61" i="22"/>
  <c r="AT57" i="22"/>
  <c r="AT48" i="22"/>
  <c r="AT41" i="22"/>
  <c r="AT35" i="22"/>
  <c r="AS80" i="22"/>
  <c r="AS58" i="22"/>
  <c r="AT56" i="22"/>
  <c r="AT98" i="22"/>
  <c r="AT69" i="22"/>
  <c r="AS90" i="22"/>
  <c r="AH73" i="22"/>
  <c r="AI56" i="22"/>
  <c r="AG46" i="22"/>
  <c r="AI37" i="22"/>
  <c r="AL105" i="22"/>
  <c r="AL102" i="22"/>
  <c r="AL99" i="22"/>
  <c r="AL96" i="22"/>
  <c r="AL91" i="22"/>
  <c r="AL88" i="22"/>
  <c r="AL84" i="22"/>
  <c r="AL80" i="22"/>
  <c r="AL77" i="22"/>
  <c r="AL74" i="22"/>
  <c r="AL68" i="22"/>
  <c r="AL64" i="22"/>
  <c r="AL61" i="22"/>
  <c r="AL58" i="22"/>
  <c r="AL54" i="22"/>
  <c r="AL51" i="22"/>
  <c r="AL47" i="22"/>
  <c r="AL44" i="22"/>
  <c r="AI99" i="22"/>
  <c r="AH91" i="22"/>
  <c r="AG87" i="22"/>
  <c r="AI76" i="22"/>
  <c r="AH69" i="22"/>
  <c r="AG64" i="22"/>
  <c r="AJ59" i="22"/>
  <c r="AI54" i="22"/>
  <c r="AH50" i="22"/>
  <c r="AJ40" i="22"/>
  <c r="AI36" i="22"/>
  <c r="AN239" i="22"/>
  <c r="AN235" i="22"/>
  <c r="AO106" i="22"/>
  <c r="AO105" i="22"/>
  <c r="AO104" i="22"/>
  <c r="AO103" i="22"/>
  <c r="AO102" i="22"/>
  <c r="AO101" i="22"/>
  <c r="AO100" i="22"/>
  <c r="AO99" i="22"/>
  <c r="AO98" i="22"/>
  <c r="AO97" i="22"/>
  <c r="AO96" i="22"/>
  <c r="AO95" i="22"/>
  <c r="AO94" i="22"/>
  <c r="AO91" i="22"/>
  <c r="AO90" i="22"/>
  <c r="AO89" i="22"/>
  <c r="AO88" i="22"/>
  <c r="AO87" i="22"/>
  <c r="AO85" i="22"/>
  <c r="AO84" i="22"/>
  <c r="AO83" i="22"/>
  <c r="AO82" i="22"/>
  <c r="AO80" i="22"/>
  <c r="AO79" i="22"/>
  <c r="AO78" i="22"/>
  <c r="AO77" i="22"/>
  <c r="AO76" i="22"/>
  <c r="AO75" i="22"/>
  <c r="AO74" i="22"/>
  <c r="AO73" i="22"/>
  <c r="AO69" i="22"/>
  <c r="AO68" i="22"/>
  <c r="AO67" i="22"/>
  <c r="AO65" i="22"/>
  <c r="AO64" i="22"/>
  <c r="AO63" i="22"/>
  <c r="AO62" i="22"/>
  <c r="AO61" i="22"/>
  <c r="AO60" i="22"/>
  <c r="AO59" i="22"/>
  <c r="AO58" i="22"/>
  <c r="AO57" i="22"/>
  <c r="AO56" i="22"/>
  <c r="AO54" i="22"/>
  <c r="AO53" i="22"/>
  <c r="AO52" i="22"/>
  <c r="AO51" i="22"/>
  <c r="AO50" i="22"/>
  <c r="AO48" i="22"/>
  <c r="AO47" i="22"/>
  <c r="AO46" i="22"/>
  <c r="AO45" i="22"/>
  <c r="AO44" i="22"/>
  <c r="AO43" i="22"/>
  <c r="AO42" i="22"/>
  <c r="AO41" i="22"/>
  <c r="AO40" i="22"/>
  <c r="AO39" i="22"/>
  <c r="AO38" i="22"/>
  <c r="AO37" i="22"/>
  <c r="AO36" i="22"/>
  <c r="AO35" i="22"/>
  <c r="AS240" i="22"/>
  <c r="AS99" i="22"/>
  <c r="AS89" i="22"/>
  <c r="AS79" i="22"/>
  <c r="AS69" i="22"/>
  <c r="AS61" i="22"/>
  <c r="AS52" i="22"/>
  <c r="AS45" i="22"/>
  <c r="AS38" i="22"/>
  <c r="AT103" i="22"/>
  <c r="AT95" i="22"/>
  <c r="AT84" i="22"/>
  <c r="AT75" i="22"/>
  <c r="AT64" i="22"/>
  <c r="AT59" i="22"/>
  <c r="AT53" i="22"/>
  <c r="AT45" i="22"/>
  <c r="AT37" i="22"/>
  <c r="AS102" i="22"/>
  <c r="AS64" i="22"/>
  <c r="AS42" i="22"/>
  <c r="AT38" i="22"/>
  <c r="AT83" i="22"/>
  <c r="AT102" i="22"/>
  <c r="AT51" i="22"/>
  <c r="AS85" i="22"/>
  <c r="AS100" i="22"/>
  <c r="AL104" i="22"/>
  <c r="AL101" i="22"/>
  <c r="AL98" i="22"/>
  <c r="AL95" i="22"/>
  <c r="AL90" i="22"/>
  <c r="AL87" i="22"/>
  <c r="AL83" i="22"/>
  <c r="AL79" i="22"/>
  <c r="AL76" i="22"/>
  <c r="AL73" i="22"/>
  <c r="AL67" i="22"/>
  <c r="AL63" i="22"/>
  <c r="AL60" i="22"/>
  <c r="AL57" i="22"/>
  <c r="AL53" i="22"/>
  <c r="AL50" i="22"/>
  <c r="AL46" i="22"/>
  <c r="AL43" i="22"/>
  <c r="AL39" i="22"/>
  <c r="AL35" i="22"/>
  <c r="AS82" i="22"/>
  <c r="AS47" i="22"/>
  <c r="AT234" i="22"/>
  <c r="AT67" i="22"/>
  <c r="AT40" i="22"/>
  <c r="AS74" i="22"/>
  <c r="AS63" i="22"/>
  <c r="AL42" i="22"/>
  <c r="AL38" i="22"/>
  <c r="AS39" i="22"/>
  <c r="AT96" i="22"/>
  <c r="AT78" i="22"/>
  <c r="AL37" i="22"/>
  <c r="AS101" i="22"/>
  <c r="AS62" i="22"/>
  <c r="AT54" i="22"/>
  <c r="AS76" i="22"/>
  <c r="AL40" i="22"/>
  <c r="AL36" i="22"/>
  <c r="AS234" i="22"/>
  <c r="AS91" i="22"/>
  <c r="AS54" i="22"/>
  <c r="AT76" i="22"/>
  <c r="AT46" i="22"/>
  <c r="AT240" i="22"/>
  <c r="AS104" i="22"/>
  <c r="AT90" i="22"/>
  <c r="AS73" i="22"/>
  <c r="AT60" i="22"/>
  <c r="AS56" i="22"/>
  <c r="AS46" i="22"/>
  <c r="AL41" i="22"/>
  <c r="AT88" i="22"/>
  <c r="AT100" i="22"/>
  <c r="AJ187" i="22"/>
  <c r="AG186" i="22"/>
  <c r="AG187" i="22"/>
  <c r="AJ186" i="22"/>
  <c r="AH187" i="22"/>
  <c r="AI186" i="22"/>
  <c r="AI187" i="22"/>
  <c r="AM187" i="22"/>
  <c r="AM186" i="22"/>
  <c r="AO187" i="22"/>
  <c r="AO186" i="22"/>
  <c r="AL186" i="22"/>
  <c r="AT187" i="22"/>
  <c r="AS186" i="22"/>
  <c r="AN187" i="22"/>
  <c r="AT186" i="22"/>
  <c r="AH186" i="22"/>
  <c r="AN186" i="22"/>
  <c r="AS187" i="22"/>
  <c r="AL187" i="22"/>
  <c r="AS83" i="22"/>
  <c r="AT52" i="22"/>
  <c r="AT250" i="22"/>
  <c r="AT242" i="22"/>
  <c r="AS231" i="22"/>
  <c r="AT220" i="22"/>
  <c r="AT202" i="22"/>
  <c r="AS188" i="22"/>
  <c r="AS168" i="22"/>
  <c r="AT159" i="22"/>
  <c r="AT145" i="22"/>
  <c r="AT135" i="22"/>
  <c r="AT123" i="22"/>
  <c r="AT111" i="22"/>
  <c r="AS94" i="22"/>
  <c r="AT77" i="22"/>
  <c r="AT43" i="22"/>
  <c r="AT47" i="22"/>
  <c r="AT167" i="22"/>
  <c r="AT131" i="22"/>
  <c r="AJ198" i="22"/>
  <c r="AJ181" i="22"/>
  <c r="AI198" i="22"/>
  <c r="AH198" i="22"/>
  <c r="AI181" i="22"/>
  <c r="AG181" i="22"/>
  <c r="AG198" i="22"/>
  <c r="AH181" i="22"/>
  <c r="AM198" i="22"/>
  <c r="AM181" i="22"/>
  <c r="AO198" i="22"/>
  <c r="AO181" i="22"/>
  <c r="AT181" i="22"/>
  <c r="AN198" i="22"/>
  <c r="AN181" i="22"/>
  <c r="AS181" i="22"/>
  <c r="AT198" i="22"/>
  <c r="AL198" i="22"/>
  <c r="AL181" i="22"/>
  <c r="AS198" i="22"/>
  <c r="AT73" i="22"/>
  <c r="AS40" i="22"/>
  <c r="AT246" i="22"/>
  <c r="AT238" i="22"/>
  <c r="AT226" i="22"/>
  <c r="AS207" i="22"/>
  <c r="AT175" i="22"/>
  <c r="AS164" i="22"/>
  <c r="AS150" i="22"/>
  <c r="AS128" i="22"/>
  <c r="AS116" i="22"/>
  <c r="AS98" i="22"/>
  <c r="AT87" i="22"/>
  <c r="AS53" i="22"/>
  <c r="AS156" i="22"/>
  <c r="AT119" i="22"/>
  <c r="AT39" i="22"/>
  <c r="AU213" i="22"/>
  <c r="AI241" i="22"/>
  <c r="AG241" i="22"/>
  <c r="AJ238" i="22"/>
  <c r="AG237" i="22"/>
  <c r="AH236" i="22"/>
  <c r="AG233" i="22"/>
  <c r="AH232" i="22"/>
  <c r="AI231" i="22"/>
  <c r="AJ230" i="22"/>
  <c r="AI227" i="22"/>
  <c r="AJ226" i="22"/>
  <c r="AG225" i="22"/>
  <c r="AH224" i="22"/>
  <c r="AI223" i="22"/>
  <c r="AJ220" i="22"/>
  <c r="AG219" i="22"/>
  <c r="AG215" i="22"/>
  <c r="AH214" i="22"/>
  <c r="AI213" i="22"/>
  <c r="AJ212" i="22"/>
  <c r="AJ237" i="22"/>
  <c r="AJ236" i="22"/>
  <c r="AI233" i="22"/>
  <c r="AI232" i="22"/>
  <c r="AH231" i="22"/>
  <c r="AH230" i="22"/>
  <c r="AG227" i="22"/>
  <c r="AG226" i="22"/>
  <c r="AJ219" i="22"/>
  <c r="AI215" i="22"/>
  <c r="AI214" i="22"/>
  <c r="AH213" i="22"/>
  <c r="AH212" i="22"/>
  <c r="AI238" i="22"/>
  <c r="AI237" i="22"/>
  <c r="AI236" i="22"/>
  <c r="AH233" i="22"/>
  <c r="AG232" i="22"/>
  <c r="AG231" i="22"/>
  <c r="AG230" i="22"/>
  <c r="AJ225" i="22"/>
  <c r="AJ224" i="22"/>
  <c r="AJ223" i="22"/>
  <c r="AI220" i="22"/>
  <c r="AI219" i="22"/>
  <c r="AH215" i="22"/>
  <c r="AG214" i="22"/>
  <c r="AG213" i="22"/>
  <c r="AG212" i="22"/>
  <c r="AH241" i="22"/>
  <c r="AG238" i="22"/>
  <c r="AJ233" i="22"/>
  <c r="AJ232" i="22"/>
  <c r="AJ231" i="22"/>
  <c r="AI230" i="22"/>
  <c r="AG236" i="22"/>
  <c r="AH226" i="22"/>
  <c r="AG224" i="22"/>
  <c r="AG220" i="22"/>
  <c r="AJ215" i="22"/>
  <c r="AJ213" i="22"/>
  <c r="AJ227" i="22"/>
  <c r="AI225" i="22"/>
  <c r="AH223" i="22"/>
  <c r="AH219" i="22"/>
  <c r="AJ241" i="22"/>
  <c r="AH237" i="22"/>
  <c r="AI226" i="22"/>
  <c r="AI224" i="22"/>
  <c r="AH220" i="22"/>
  <c r="AG223" i="22"/>
  <c r="AI212" i="22"/>
  <c r="AJ20" i="22"/>
  <c r="AG19" i="22"/>
  <c r="AH18" i="22"/>
  <c r="AI17" i="22"/>
  <c r="AJ16" i="22"/>
  <c r="AG15" i="22"/>
  <c r="AH14" i="22"/>
  <c r="AI13" i="22"/>
  <c r="AI20" i="22"/>
  <c r="AJ19" i="22"/>
  <c r="AG18" i="22"/>
  <c r="AH17" i="22"/>
  <c r="AI16" i="22"/>
  <c r="AJ15" i="22"/>
  <c r="AG14" i="22"/>
  <c r="AH13" i="22"/>
  <c r="AM241" i="22"/>
  <c r="AM238" i="22"/>
  <c r="AM237" i="22"/>
  <c r="AM236" i="22"/>
  <c r="AM233" i="22"/>
  <c r="AM232" i="22"/>
  <c r="AM231" i="22"/>
  <c r="AM230" i="22"/>
  <c r="AM227" i="22"/>
  <c r="AM226" i="22"/>
  <c r="AM225" i="22"/>
  <c r="AM224" i="22"/>
  <c r="AM223" i="22"/>
  <c r="AM220" i="22"/>
  <c r="AM219" i="22"/>
  <c r="AM215" i="22"/>
  <c r="AM214" i="22"/>
  <c r="AM213" i="22"/>
  <c r="AM212" i="22"/>
  <c r="AH238" i="22"/>
  <c r="AH225" i="22"/>
  <c r="AJ214" i="22"/>
  <c r="AG20" i="22"/>
  <c r="AH19" i="22"/>
  <c r="AI18" i="22"/>
  <c r="AJ17" i="22"/>
  <c r="AG16" i="22"/>
  <c r="AH15" i="22"/>
  <c r="AI14" i="22"/>
  <c r="AJ13" i="22"/>
  <c r="AO241" i="22"/>
  <c r="AO238" i="22"/>
  <c r="AO237" i="22"/>
  <c r="AO236" i="22"/>
  <c r="AO233" i="22"/>
  <c r="AO232" i="22"/>
  <c r="AO231" i="22"/>
  <c r="AO230" i="22"/>
  <c r="AO227" i="22"/>
  <c r="AO226" i="22"/>
  <c r="AO225" i="22"/>
  <c r="AO224" i="22"/>
  <c r="AO223" i="22"/>
  <c r="AO220" i="22"/>
  <c r="AO219" i="22"/>
  <c r="AO215" i="22"/>
  <c r="AO214" i="22"/>
  <c r="AO213" i="22"/>
  <c r="AO212" i="22"/>
  <c r="AJ14" i="22"/>
  <c r="AL241" i="22"/>
  <c r="AL237" i="22"/>
  <c r="AL233" i="22"/>
  <c r="AL231" i="22"/>
  <c r="AL227" i="22"/>
  <c r="AL225" i="22"/>
  <c r="AL223" i="22"/>
  <c r="AL219" i="22"/>
  <c r="AL215" i="22"/>
  <c r="AL213" i="22"/>
  <c r="AN20" i="22"/>
  <c r="AN19" i="22"/>
  <c r="AN18" i="22"/>
  <c r="AN17" i="22"/>
  <c r="AN16" i="22"/>
  <c r="AN15" i="22"/>
  <c r="AN14" i="22"/>
  <c r="AN13" i="22"/>
  <c r="AS238" i="22"/>
  <c r="AS220" i="22"/>
  <c r="AS212" i="22"/>
  <c r="AS20" i="22"/>
  <c r="AT231" i="22"/>
  <c r="AT224" i="22"/>
  <c r="AT215" i="22"/>
  <c r="AT17" i="22"/>
  <c r="AS219" i="22"/>
  <c r="AT223" i="22"/>
  <c r="AS237" i="22"/>
  <c r="AI19" i="22"/>
  <c r="AL220" i="22"/>
  <c r="AL214" i="22"/>
  <c r="AH20" i="22"/>
  <c r="AG17" i="22"/>
  <c r="AN238" i="22"/>
  <c r="AN236" i="22"/>
  <c r="AN232" i="22"/>
  <c r="AN230" i="22"/>
  <c r="AN226" i="22"/>
  <c r="AN224" i="22"/>
  <c r="AN220" i="22"/>
  <c r="AN214" i="22"/>
  <c r="AN212" i="22"/>
  <c r="AM20" i="22"/>
  <c r="AM19" i="22"/>
  <c r="AM18" i="22"/>
  <c r="AM17" i="22"/>
  <c r="AM16" i="22"/>
  <c r="AM15" i="22"/>
  <c r="AM14" i="22"/>
  <c r="AM13" i="22"/>
  <c r="AS236" i="22"/>
  <c r="AS227" i="22"/>
  <c r="AS18" i="22"/>
  <c r="AT214" i="22"/>
  <c r="AT16" i="22"/>
  <c r="AS241" i="22"/>
  <c r="AS215" i="22"/>
  <c r="AT19" i="22"/>
  <c r="AT233" i="22"/>
  <c r="AS225" i="22"/>
  <c r="AT237" i="22"/>
  <c r="AG13" i="22"/>
  <c r="AL238" i="22"/>
  <c r="AL232" i="22"/>
  <c r="AL226" i="22"/>
  <c r="AL212" i="22"/>
  <c r="AH227" i="22"/>
  <c r="AJ18" i="22"/>
  <c r="AI15" i="22"/>
  <c r="AN241" i="22"/>
  <c r="AN237" i="22"/>
  <c r="AN233" i="22"/>
  <c r="AN231" i="22"/>
  <c r="AN227" i="22"/>
  <c r="AN225" i="22"/>
  <c r="AN223" i="22"/>
  <c r="AN219" i="22"/>
  <c r="AN215" i="22"/>
  <c r="AN213" i="22"/>
  <c r="AO20" i="22"/>
  <c r="AO19" i="22"/>
  <c r="AO18" i="22"/>
  <c r="AO17" i="22"/>
  <c r="AO16" i="22"/>
  <c r="AO15" i="22"/>
  <c r="AO14" i="22"/>
  <c r="AO13" i="22"/>
  <c r="AS230" i="22"/>
  <c r="AS224" i="22"/>
  <c r="AS214" i="22"/>
  <c r="AS13" i="22"/>
  <c r="AS14" i="22"/>
  <c r="AT241" i="22"/>
  <c r="AT232" i="22"/>
  <c r="AT225" i="22"/>
  <c r="AT212" i="22"/>
  <c r="AT18" i="22"/>
  <c r="AT14" i="22"/>
  <c r="AS17" i="22"/>
  <c r="AT13" i="22"/>
  <c r="AT219" i="22"/>
  <c r="AS233" i="22"/>
  <c r="AH16" i="22"/>
  <c r="AL236" i="22"/>
  <c r="AL230" i="22"/>
  <c r="AL224" i="22"/>
  <c r="AL18" i="22"/>
  <c r="AL14" i="22"/>
  <c r="AS226" i="22"/>
  <c r="AS16" i="22"/>
  <c r="AL20" i="22"/>
  <c r="AT20" i="22"/>
  <c r="AS232" i="22"/>
  <c r="AL17" i="22"/>
  <c r="AL13" i="22"/>
  <c r="AL19" i="22"/>
  <c r="AL15" i="22"/>
  <c r="AT213" i="22"/>
  <c r="AT15" i="22"/>
  <c r="AT236" i="22"/>
  <c r="AT227" i="22"/>
  <c r="AL16" i="22"/>
  <c r="AI255" i="22"/>
  <c r="AJ254" i="22"/>
  <c r="AG253" i="22"/>
  <c r="AH250" i="22"/>
  <c r="AI249" i="22"/>
  <c r="AJ248" i="22"/>
  <c r="AG247" i="22"/>
  <c r="AH246" i="22"/>
  <c r="AI245" i="22"/>
  <c r="AJ244" i="22"/>
  <c r="AH242" i="22"/>
  <c r="AG255" i="22"/>
  <c r="AH254" i="22"/>
  <c r="AI253" i="22"/>
  <c r="AJ250" i="22"/>
  <c r="AG249" i="22"/>
  <c r="AH248" i="22"/>
  <c r="AI247" i="22"/>
  <c r="AJ246" i="22"/>
  <c r="AG245" i="22"/>
  <c r="AH244" i="22"/>
  <c r="AJ242" i="22"/>
  <c r="AH218" i="22"/>
  <c r="AG209" i="22"/>
  <c r="AH208" i="22"/>
  <c r="AI207" i="22"/>
  <c r="AJ206" i="22"/>
  <c r="AH204" i="22"/>
  <c r="AI203" i="22"/>
  <c r="AJ202" i="22"/>
  <c r="AG201" i="22"/>
  <c r="AH200" i="22"/>
  <c r="AI199" i="22"/>
  <c r="AG197" i="22"/>
  <c r="AH194" i="22"/>
  <c r="AI193" i="22"/>
  <c r="AJ192" i="22"/>
  <c r="AG191" i="22"/>
  <c r="AH190" i="22"/>
  <c r="AI188" i="22"/>
  <c r="AJ255" i="22"/>
  <c r="AG254" i="22"/>
  <c r="AI250" i="22"/>
  <c r="AH247" i="22"/>
  <c r="AJ245" i="22"/>
  <c r="AG244" i="22"/>
  <c r="AI242" i="22"/>
  <c r="AJ218" i="22"/>
  <c r="AH209" i="22"/>
  <c r="AG208" i="22"/>
  <c r="AG207" i="22"/>
  <c r="AG206" i="22"/>
  <c r="AJ201" i="22"/>
  <c r="AJ200" i="22"/>
  <c r="AJ199" i="22"/>
  <c r="AI197" i="22"/>
  <c r="AI194" i="22"/>
  <c r="AH193" i="22"/>
  <c r="AH192" i="22"/>
  <c r="AH191" i="22"/>
  <c r="AG190" i="22"/>
  <c r="AG188" i="22"/>
  <c r="AH255" i="22"/>
  <c r="AJ253" i="22"/>
  <c r="AG250" i="22"/>
  <c r="AI248" i="22"/>
  <c r="AH245" i="22"/>
  <c r="AG242" i="22"/>
  <c r="AI218" i="22"/>
  <c r="AJ204" i="22"/>
  <c r="AJ203" i="22"/>
  <c r="AI202" i="22"/>
  <c r="AI201" i="22"/>
  <c r="AI200" i="22"/>
  <c r="AH199" i="22"/>
  <c r="AH197" i="22"/>
  <c r="AG194" i="22"/>
  <c r="AG193" i="22"/>
  <c r="AG192" i="22"/>
  <c r="AI254" i="22"/>
  <c r="AH249" i="22"/>
  <c r="AJ247" i="22"/>
  <c r="AG246" i="22"/>
  <c r="AI244" i="22"/>
  <c r="AI246" i="22"/>
  <c r="AI209" i="22"/>
  <c r="AH207" i="22"/>
  <c r="AG203" i="22"/>
  <c r="AJ194" i="22"/>
  <c r="AI192" i="22"/>
  <c r="AI190" i="22"/>
  <c r="AH253" i="22"/>
  <c r="AJ208" i="22"/>
  <c r="AI206" i="22"/>
  <c r="AI204" i="22"/>
  <c r="AH202" i="22"/>
  <c r="AG200" i="22"/>
  <c r="AJ191" i="22"/>
  <c r="AJ188" i="22"/>
  <c r="AG248" i="22"/>
  <c r="AG218" i="22"/>
  <c r="AJ209" i="22"/>
  <c r="AJ207" i="22"/>
  <c r="AH203" i="22"/>
  <c r="AH201" i="22"/>
  <c r="AG199" i="22"/>
  <c r="AJ190" i="22"/>
  <c r="AG202" i="22"/>
  <c r="AI191" i="22"/>
  <c r="AN255" i="22"/>
  <c r="AN254" i="22"/>
  <c r="AN253" i="22"/>
  <c r="AN250" i="22"/>
  <c r="AN249" i="22"/>
  <c r="AN248" i="22"/>
  <c r="AN247" i="22"/>
  <c r="AN246" i="22"/>
  <c r="AN245" i="22"/>
  <c r="AN244" i="22"/>
  <c r="AN242" i="22"/>
  <c r="AJ249" i="22"/>
  <c r="AI208" i="22"/>
  <c r="AH188" i="22"/>
  <c r="AM255" i="22"/>
  <c r="AM254" i="22"/>
  <c r="AM253" i="22"/>
  <c r="AM250" i="22"/>
  <c r="AM249" i="22"/>
  <c r="AM248" i="22"/>
  <c r="AM247" i="22"/>
  <c r="AM246" i="22"/>
  <c r="AM245" i="22"/>
  <c r="AM244" i="22"/>
  <c r="AM242" i="22"/>
  <c r="AM218" i="22"/>
  <c r="AM209" i="22"/>
  <c r="AM208" i="22"/>
  <c r="AM207" i="22"/>
  <c r="AM206" i="22"/>
  <c r="AM204" i="22"/>
  <c r="AM203" i="22"/>
  <c r="AM202" i="22"/>
  <c r="AM201" i="22"/>
  <c r="AM200" i="22"/>
  <c r="AM199" i="22"/>
  <c r="AM197" i="22"/>
  <c r="AM194" i="22"/>
  <c r="AM193" i="22"/>
  <c r="AM192" i="22"/>
  <c r="AM191" i="22"/>
  <c r="AM190" i="22"/>
  <c r="AM188" i="22"/>
  <c r="AG204" i="22"/>
  <c r="AJ193" i="22"/>
  <c r="AO255" i="22"/>
  <c r="AO254" i="22"/>
  <c r="AO253" i="22"/>
  <c r="AO250" i="22"/>
  <c r="AO249" i="22"/>
  <c r="AO248" i="22"/>
  <c r="AO247" i="22"/>
  <c r="AO246" i="22"/>
  <c r="AO245" i="22"/>
  <c r="AO244" i="22"/>
  <c r="AO242" i="22"/>
  <c r="AO218" i="22"/>
  <c r="AO209" i="22"/>
  <c r="AO208" i="22"/>
  <c r="AO207" i="22"/>
  <c r="AO206" i="22"/>
  <c r="AO204" i="22"/>
  <c r="AO203" i="22"/>
  <c r="AO202" i="22"/>
  <c r="AO201" i="22"/>
  <c r="AO200" i="22"/>
  <c r="AO199" i="22"/>
  <c r="AO197" i="22"/>
  <c r="AO194" i="22"/>
  <c r="AO193" i="22"/>
  <c r="AO192" i="22"/>
  <c r="AO191" i="22"/>
  <c r="AO190" i="22"/>
  <c r="AO188" i="22"/>
  <c r="AL254" i="22"/>
  <c r="AL248" i="22"/>
  <c r="AL244" i="22"/>
  <c r="AL209" i="22"/>
  <c r="AL207" i="22"/>
  <c r="AL203" i="22"/>
  <c r="AL201" i="22"/>
  <c r="AL199" i="22"/>
  <c r="AL197" i="22"/>
  <c r="AL193" i="22"/>
  <c r="AL191" i="22"/>
  <c r="AL188" i="22"/>
  <c r="AS246" i="22"/>
  <c r="AS203" i="22"/>
  <c r="AS194" i="22"/>
  <c r="AS254" i="22"/>
  <c r="AT255" i="22"/>
  <c r="AT208" i="22"/>
  <c r="AT200" i="22"/>
  <c r="AS249" i="22"/>
  <c r="AT191" i="22"/>
  <c r="AT245" i="22"/>
  <c r="AT201" i="22"/>
  <c r="AJ197" i="22"/>
  <c r="AL250" i="22"/>
  <c r="AL206" i="22"/>
  <c r="AL200" i="22"/>
  <c r="AL192" i="22"/>
  <c r="AH206" i="22"/>
  <c r="AL253" i="22"/>
  <c r="AL247" i="22"/>
  <c r="AN218" i="22"/>
  <c r="AN208" i="22"/>
  <c r="AN206" i="22"/>
  <c r="AN204" i="22"/>
  <c r="AN202" i="22"/>
  <c r="AN200" i="22"/>
  <c r="AN194" i="22"/>
  <c r="AN192" i="22"/>
  <c r="AN190" i="22"/>
  <c r="AS218" i="22"/>
  <c r="AS208" i="22"/>
  <c r="AS202" i="22"/>
  <c r="AS192" i="22"/>
  <c r="AS253" i="22"/>
  <c r="AT218" i="22"/>
  <c r="AT207" i="22"/>
  <c r="AT247" i="22"/>
  <c r="AS197" i="22"/>
  <c r="AT203" i="22"/>
  <c r="AL242" i="22"/>
  <c r="AL218" i="22"/>
  <c r="AL204" i="22"/>
  <c r="AL190" i="22"/>
  <c r="AL255" i="22"/>
  <c r="AL249" i="22"/>
  <c r="AL245" i="22"/>
  <c r="AN209" i="22"/>
  <c r="AN207" i="22"/>
  <c r="AN203" i="22"/>
  <c r="AN201" i="22"/>
  <c r="AN199" i="22"/>
  <c r="AN197" i="22"/>
  <c r="AN193" i="22"/>
  <c r="AN191" i="22"/>
  <c r="AN188" i="22"/>
  <c r="AS204" i="22"/>
  <c r="AT204" i="22"/>
  <c r="AT190" i="22"/>
  <c r="AT254" i="22"/>
  <c r="AS191" i="22"/>
  <c r="AT188" i="22"/>
  <c r="AT209" i="22"/>
  <c r="AS201" i="22"/>
  <c r="AT253" i="22"/>
  <c r="AL246" i="22"/>
  <c r="AL208" i="22"/>
  <c r="AL202" i="22"/>
  <c r="AL194" i="22"/>
  <c r="AS190" i="22"/>
  <c r="AT249" i="22"/>
  <c r="AT199" i="22"/>
  <c r="AS250" i="22"/>
  <c r="AS209" i="22"/>
  <c r="AS206" i="22"/>
  <c r="AT197" i="22"/>
  <c r="AT194" i="22"/>
  <c r="AS200" i="22"/>
  <c r="AS245" i="22"/>
  <c r="AS242" i="22"/>
  <c r="AS255" i="22"/>
  <c r="AU216" i="22"/>
  <c r="AJ216" i="22"/>
  <c r="AI216" i="22"/>
  <c r="AH216" i="22"/>
  <c r="AG216" i="22"/>
  <c r="AI31" i="22"/>
  <c r="AJ30" i="22"/>
  <c r="AG29" i="22"/>
  <c r="AH28" i="22"/>
  <c r="AI27" i="22"/>
  <c r="AJ26" i="22"/>
  <c r="AG25" i="22"/>
  <c r="AH24" i="22"/>
  <c r="AI23" i="22"/>
  <c r="AH31" i="22"/>
  <c r="AI30" i="22"/>
  <c r="AJ29" i="22"/>
  <c r="AG28" i="22"/>
  <c r="AH27" i="22"/>
  <c r="AI26" i="22"/>
  <c r="AJ25" i="22"/>
  <c r="AG24" i="22"/>
  <c r="AH23" i="22"/>
  <c r="AM216" i="22"/>
  <c r="AJ31" i="22"/>
  <c r="AG30" i="22"/>
  <c r="AH29" i="22"/>
  <c r="AI28" i="22"/>
  <c r="AJ27" i="22"/>
  <c r="AG26" i="22"/>
  <c r="AH25" i="22"/>
  <c r="AI24" i="22"/>
  <c r="AJ23" i="22"/>
  <c r="AO216" i="22"/>
  <c r="AI29" i="22"/>
  <c r="AH26" i="22"/>
  <c r="AG23" i="22"/>
  <c r="AN31" i="22"/>
  <c r="AN30" i="22"/>
  <c r="AN29" i="22"/>
  <c r="AN28" i="22"/>
  <c r="AN27" i="22"/>
  <c r="AN26" i="22"/>
  <c r="AN25" i="22"/>
  <c r="AN24" i="22"/>
  <c r="AN23" i="22"/>
  <c r="AS27" i="22"/>
  <c r="AT26" i="22"/>
  <c r="AS31" i="22"/>
  <c r="AS23" i="22"/>
  <c r="AJ28" i="22"/>
  <c r="AI25" i="22"/>
  <c r="AN216" i="22"/>
  <c r="AM31" i="22"/>
  <c r="AM30" i="22"/>
  <c r="AM29" i="22"/>
  <c r="AM28" i="22"/>
  <c r="AM27" i="22"/>
  <c r="AM26" i="22"/>
  <c r="AM25" i="22"/>
  <c r="AM24" i="22"/>
  <c r="AM23" i="22"/>
  <c r="AS26" i="22"/>
  <c r="AT23" i="22"/>
  <c r="AT30" i="22"/>
  <c r="AT29" i="22"/>
  <c r="AJ24" i="22"/>
  <c r="AH30" i="22"/>
  <c r="AG27" i="22"/>
  <c r="AO31" i="22"/>
  <c r="AO30" i="22"/>
  <c r="AO29" i="22"/>
  <c r="AO28" i="22"/>
  <c r="AO27" i="22"/>
  <c r="AO26" i="22"/>
  <c r="AO25" i="22"/>
  <c r="AO24" i="22"/>
  <c r="AO23" i="22"/>
  <c r="AS28" i="22"/>
  <c r="AS24" i="22"/>
  <c r="AT216" i="22"/>
  <c r="AT27" i="22"/>
  <c r="AG31" i="22"/>
  <c r="AL216" i="22"/>
  <c r="AL28" i="22"/>
  <c r="AL24" i="22"/>
  <c r="AT25" i="22"/>
  <c r="AS216" i="22"/>
  <c r="AS29" i="22"/>
  <c r="AL31" i="22"/>
  <c r="AL27" i="22"/>
  <c r="AL23" i="22"/>
  <c r="AT31" i="22"/>
  <c r="AL29" i="22"/>
  <c r="AL25" i="22"/>
  <c r="AS25" i="22"/>
  <c r="AL30" i="22"/>
  <c r="AL26" i="22"/>
  <c r="AS30" i="22"/>
  <c r="AH228" i="22"/>
  <c r="AG205" i="22"/>
  <c r="AG228" i="22"/>
  <c r="AJ205" i="22"/>
  <c r="AI228" i="22"/>
  <c r="AH205" i="22"/>
  <c r="AH150" i="22"/>
  <c r="AI149" i="22"/>
  <c r="AJ148" i="22"/>
  <c r="AG147" i="22"/>
  <c r="AH146" i="22"/>
  <c r="AI145" i="22"/>
  <c r="AJ144" i="22"/>
  <c r="AG143" i="22"/>
  <c r="AH142" i="22"/>
  <c r="AI141" i="22"/>
  <c r="AJ140" i="22"/>
  <c r="AG150" i="22"/>
  <c r="AH149" i="22"/>
  <c r="AI148" i="22"/>
  <c r="AJ147" i="22"/>
  <c r="AG146" i="22"/>
  <c r="AH145" i="22"/>
  <c r="AI144" i="22"/>
  <c r="AJ143" i="22"/>
  <c r="AG142" i="22"/>
  <c r="AH141" i="22"/>
  <c r="AI140" i="22"/>
  <c r="AJ228" i="22"/>
  <c r="AI205" i="22"/>
  <c r="AI150" i="22"/>
  <c r="AJ149" i="22"/>
  <c r="AG148" i="22"/>
  <c r="AH147" i="22"/>
  <c r="AI146" i="22"/>
  <c r="AJ145" i="22"/>
  <c r="AG144" i="22"/>
  <c r="AH143" i="22"/>
  <c r="AI142" i="22"/>
  <c r="AJ141" i="22"/>
  <c r="AG140" i="22"/>
  <c r="AG149" i="22"/>
  <c r="AJ142" i="22"/>
  <c r="AH148" i="22"/>
  <c r="AG145" i="22"/>
  <c r="AM228" i="22"/>
  <c r="AM205" i="22"/>
  <c r="AJ146" i="22"/>
  <c r="AI143" i="22"/>
  <c r="AH140" i="22"/>
  <c r="AO228" i="22"/>
  <c r="AO205" i="22"/>
  <c r="AJ150" i="22"/>
  <c r="AL205" i="22"/>
  <c r="AN150" i="22"/>
  <c r="AN149" i="22"/>
  <c r="AN148" i="22"/>
  <c r="AN147" i="22"/>
  <c r="AN146" i="22"/>
  <c r="AN145" i="22"/>
  <c r="AN144" i="22"/>
  <c r="AN143" i="22"/>
  <c r="AN142" i="22"/>
  <c r="AN141" i="22"/>
  <c r="AN140" i="22"/>
  <c r="AS228" i="22"/>
  <c r="AS147" i="22"/>
  <c r="AT149" i="22"/>
  <c r="AT142" i="22"/>
  <c r="AT144" i="22"/>
  <c r="AH144" i="22"/>
  <c r="AL228" i="22"/>
  <c r="AL149" i="22"/>
  <c r="AL146" i="22"/>
  <c r="AL143" i="22"/>
  <c r="AL140" i="22"/>
  <c r="AI147" i="22"/>
  <c r="AN228" i="22"/>
  <c r="AM150" i="22"/>
  <c r="AM149" i="22"/>
  <c r="AM148" i="22"/>
  <c r="AM147" i="22"/>
  <c r="AM146" i="22"/>
  <c r="AM145" i="22"/>
  <c r="AM144" i="22"/>
  <c r="AM143" i="22"/>
  <c r="AM142" i="22"/>
  <c r="AM141" i="22"/>
  <c r="AM140" i="22"/>
  <c r="AS145" i="22"/>
  <c r="AT228" i="22"/>
  <c r="AT147" i="22"/>
  <c r="AT140" i="22"/>
  <c r="AS144" i="22"/>
  <c r="AT148" i="22"/>
  <c r="AS148" i="22"/>
  <c r="AL148" i="22"/>
  <c r="AL145" i="22"/>
  <c r="AL142" i="22"/>
  <c r="AG141" i="22"/>
  <c r="AN205" i="22"/>
  <c r="AO150" i="22"/>
  <c r="AO149" i="22"/>
  <c r="AO148" i="22"/>
  <c r="AO147" i="22"/>
  <c r="AO146" i="22"/>
  <c r="AO145" i="22"/>
  <c r="AO144" i="22"/>
  <c r="AO143" i="22"/>
  <c r="AO142" i="22"/>
  <c r="AO141" i="22"/>
  <c r="AO140" i="22"/>
  <c r="AS149" i="22"/>
  <c r="AS141" i="22"/>
  <c r="AT150" i="22"/>
  <c r="AT143" i="22"/>
  <c r="AL150" i="22"/>
  <c r="AL147" i="22"/>
  <c r="AL144" i="22"/>
  <c r="AL141" i="22"/>
  <c r="AT205" i="22"/>
  <c r="AS205" i="22"/>
  <c r="AS143" i="22"/>
  <c r="AS140" i="22"/>
  <c r="AT146" i="22"/>
  <c r="AT65" i="22"/>
  <c r="AT28" i="22"/>
  <c r="AS235" i="22"/>
  <c r="AS223" i="22"/>
  <c r="AT206" i="22"/>
  <c r="AT192" i="22"/>
  <c r="AS172" i="22"/>
  <c r="AT163" i="22"/>
  <c r="AS146" i="22"/>
  <c r="AS136" i="22"/>
  <c r="AS124" i="22"/>
  <c r="AS112" i="22"/>
  <c r="AT97" i="22"/>
  <c r="AT82" i="22"/>
  <c r="AS48" i="22"/>
  <c r="AT105" i="22"/>
  <c r="AS15" i="22"/>
  <c r="AQ213" i="22"/>
  <c r="AR213" i="22"/>
  <c r="AQ216" i="22"/>
  <c r="AR216" i="22"/>
  <c r="AQ217" i="22"/>
  <c r="AR217" i="22"/>
  <c r="AR255" i="22"/>
  <c r="AQ255" i="22"/>
  <c r="AR254" i="22"/>
  <c r="AQ254" i="22"/>
  <c r="AR253" i="22"/>
  <c r="AQ253" i="22"/>
  <c r="AR250" i="22"/>
  <c r="AQ250" i="22"/>
  <c r="AR249" i="22"/>
  <c r="AQ249" i="22"/>
  <c r="AR247" i="22"/>
  <c r="AQ247" i="22"/>
  <c r="AR246" i="22"/>
  <c r="AQ246" i="22"/>
  <c r="AR245" i="22"/>
  <c r="AQ245" i="22"/>
  <c r="AR242" i="22"/>
  <c r="AQ242" i="22"/>
  <c r="AR241" i="22"/>
  <c r="AQ241" i="22"/>
  <c r="AR240" i="22"/>
  <c r="AQ240" i="22"/>
  <c r="AR239" i="22"/>
  <c r="AQ239" i="22"/>
  <c r="AR238" i="22"/>
  <c r="AQ238" i="22"/>
  <c r="AR237" i="22"/>
  <c r="AQ237" i="22"/>
  <c r="AR236" i="22"/>
  <c r="AQ236" i="22"/>
  <c r="AR235" i="22"/>
  <c r="AQ235" i="22"/>
  <c r="AR234" i="22"/>
  <c r="AQ234" i="22"/>
  <c r="AR233" i="22"/>
  <c r="AQ233" i="22"/>
  <c r="AR232" i="22"/>
  <c r="AQ232" i="22"/>
  <c r="AR231" i="22"/>
  <c r="AQ231" i="22"/>
  <c r="AR230" i="22"/>
  <c r="AQ230" i="22"/>
  <c r="AR229" i="22"/>
  <c r="AQ229" i="22"/>
  <c r="AR228" i="22"/>
  <c r="AQ228" i="22"/>
  <c r="AR227" i="22"/>
  <c r="AQ227" i="22"/>
  <c r="AR226" i="22"/>
  <c r="AQ226" i="22"/>
  <c r="AR225" i="22"/>
  <c r="AQ225" i="22"/>
  <c r="AR224" i="22"/>
  <c r="AQ224" i="22"/>
  <c r="AR223" i="22"/>
  <c r="AQ223" i="22"/>
  <c r="AR220" i="22"/>
  <c r="AQ220" i="22"/>
  <c r="AR219" i="22"/>
  <c r="AQ219" i="22"/>
  <c r="AR218" i="22"/>
  <c r="AQ218" i="22"/>
  <c r="AR215" i="22"/>
  <c r="AQ215" i="22"/>
  <c r="AR214" i="22"/>
  <c r="AQ214" i="22"/>
  <c r="AR212" i="22"/>
  <c r="AQ212" i="22"/>
  <c r="AR209" i="22"/>
  <c r="AQ209" i="22"/>
  <c r="AR208" i="22"/>
  <c r="AQ208" i="22"/>
  <c r="AR207" i="22"/>
  <c r="AQ207" i="22"/>
  <c r="AR206" i="22"/>
  <c r="AQ206" i="22"/>
  <c r="AR205" i="22"/>
  <c r="AQ205" i="22"/>
  <c r="AR204" i="22"/>
  <c r="AQ204" i="22"/>
  <c r="AR203" i="22"/>
  <c r="AQ203" i="22"/>
  <c r="AR202" i="22"/>
  <c r="AQ202" i="22"/>
  <c r="AR201" i="22"/>
  <c r="AQ201" i="22"/>
  <c r="AR200" i="22"/>
  <c r="AQ200" i="22"/>
  <c r="AR199" i="22"/>
  <c r="AQ199" i="22"/>
  <c r="AR198" i="22"/>
  <c r="AQ198" i="22"/>
  <c r="AR197" i="22"/>
  <c r="AQ197" i="22"/>
  <c r="AR194" i="22"/>
  <c r="AQ194" i="22"/>
  <c r="AR192" i="22"/>
  <c r="AQ192" i="22"/>
  <c r="AR191" i="22"/>
  <c r="AQ191" i="22"/>
  <c r="AR190" i="22"/>
  <c r="AQ190" i="22"/>
  <c r="AR188" i="22"/>
  <c r="AQ188" i="22"/>
  <c r="AR187" i="22"/>
  <c r="AQ187" i="22"/>
  <c r="AR186" i="22"/>
  <c r="AQ186" i="22"/>
  <c r="AR183" i="22"/>
  <c r="AQ183" i="22"/>
  <c r="AR182" i="22"/>
  <c r="AQ182" i="22"/>
  <c r="AR181" i="22"/>
  <c r="AQ181" i="22"/>
  <c r="AR180" i="22"/>
  <c r="AQ180" i="22"/>
  <c r="AR179" i="22"/>
  <c r="AQ179" i="22"/>
  <c r="AR178" i="22"/>
  <c r="AQ178" i="22"/>
  <c r="AR175" i="22"/>
  <c r="AQ175" i="22"/>
  <c r="AR174" i="22"/>
  <c r="AQ174" i="22"/>
  <c r="AR173" i="22"/>
  <c r="AQ173" i="22"/>
  <c r="AR172" i="22"/>
  <c r="AQ172" i="22"/>
  <c r="AR171" i="22"/>
  <c r="AQ171" i="22"/>
  <c r="AR170" i="22"/>
  <c r="AQ170" i="22"/>
  <c r="AR169" i="22"/>
  <c r="AQ169" i="22"/>
  <c r="AR168" i="22"/>
  <c r="AQ168" i="22"/>
  <c r="AR167" i="22"/>
  <c r="AQ167" i="22"/>
  <c r="AR166" i="22"/>
  <c r="AQ166" i="22"/>
  <c r="AR165" i="22"/>
  <c r="AQ165" i="22"/>
  <c r="AR164" i="22"/>
  <c r="AQ164" i="22"/>
  <c r="AR163" i="22"/>
  <c r="AQ163" i="22"/>
  <c r="AR162" i="22"/>
  <c r="AQ162" i="22"/>
  <c r="AR161" i="22"/>
  <c r="AQ161" i="22"/>
  <c r="AR160" i="22"/>
  <c r="AQ160" i="22"/>
  <c r="AR159" i="22"/>
  <c r="AQ159" i="22"/>
  <c r="AR158" i="22"/>
  <c r="AQ158" i="22"/>
  <c r="AR157" i="22"/>
  <c r="AQ157" i="22"/>
  <c r="AR156" i="22"/>
  <c r="AQ156" i="22"/>
  <c r="AR155" i="22"/>
  <c r="AQ155" i="22"/>
  <c r="AR154" i="22"/>
  <c r="AQ154" i="22"/>
  <c r="AR153" i="22"/>
  <c r="AQ153" i="22"/>
  <c r="AR150" i="22"/>
  <c r="AQ150" i="22"/>
  <c r="AR149" i="22"/>
  <c r="AQ149" i="22"/>
  <c r="AR148" i="22"/>
  <c r="AQ148" i="22"/>
  <c r="AR147" i="22"/>
  <c r="AQ147" i="22"/>
  <c r="AR146" i="22"/>
  <c r="AQ146" i="22"/>
  <c r="AR145" i="22"/>
  <c r="AQ145" i="22"/>
  <c r="AR144" i="22"/>
  <c r="AQ144" i="22"/>
  <c r="AR143" i="22"/>
  <c r="AQ143" i="22"/>
  <c r="AR142" i="22"/>
  <c r="AQ142" i="22"/>
  <c r="AR141" i="22"/>
  <c r="AQ141" i="22"/>
  <c r="AR140" i="22"/>
  <c r="AQ140" i="22"/>
  <c r="AR137" i="22"/>
  <c r="AQ137" i="22"/>
  <c r="AR136" i="22"/>
  <c r="AQ136" i="22"/>
  <c r="AR135" i="22"/>
  <c r="AQ135" i="22"/>
  <c r="AR134" i="22"/>
  <c r="AQ134" i="22"/>
  <c r="AR133" i="22"/>
  <c r="AQ133" i="22"/>
  <c r="AR132" i="22"/>
  <c r="AQ132" i="22"/>
  <c r="AR131" i="22"/>
  <c r="AQ131" i="22"/>
  <c r="AR130" i="22"/>
  <c r="AQ130" i="22"/>
  <c r="AR129" i="22"/>
  <c r="AQ129" i="22"/>
  <c r="AR128" i="22"/>
  <c r="AQ128" i="22"/>
  <c r="AR127" i="22"/>
  <c r="AQ127" i="22"/>
  <c r="AR126" i="22"/>
  <c r="AQ126" i="22"/>
  <c r="AR125" i="22"/>
  <c r="AQ125" i="22"/>
  <c r="AR124" i="22"/>
  <c r="AQ124" i="22"/>
  <c r="AR123" i="22"/>
  <c r="AQ123" i="22"/>
  <c r="AR122" i="22"/>
  <c r="AQ122" i="22"/>
  <c r="AR121" i="22"/>
  <c r="AQ121" i="22"/>
  <c r="AR120" i="22"/>
  <c r="AQ120" i="22"/>
  <c r="AR119" i="22"/>
  <c r="AQ119" i="22"/>
  <c r="AR118" i="22"/>
  <c r="AQ118" i="22"/>
  <c r="AR117" i="22"/>
  <c r="AQ117" i="22"/>
  <c r="AR116" i="22"/>
  <c r="AQ116" i="22"/>
  <c r="AR115" i="22"/>
  <c r="AQ115" i="22"/>
  <c r="AR114" i="22"/>
  <c r="AQ114" i="22"/>
  <c r="AR113" i="22"/>
  <c r="AQ113" i="22"/>
  <c r="AR112" i="22"/>
  <c r="AQ112" i="22"/>
  <c r="AR111" i="22"/>
  <c r="AQ111" i="22"/>
  <c r="AR110" i="22"/>
  <c r="AQ110" i="22"/>
  <c r="AR109" i="22"/>
  <c r="AQ109" i="22"/>
  <c r="AR106" i="22"/>
  <c r="AQ106" i="22"/>
  <c r="AR105" i="22"/>
  <c r="AQ105" i="22"/>
  <c r="AR104" i="22"/>
  <c r="AQ104" i="22"/>
  <c r="AR103" i="22"/>
  <c r="AQ103" i="22"/>
  <c r="AR102" i="22"/>
  <c r="AQ102" i="22"/>
  <c r="AR101" i="22"/>
  <c r="AQ101" i="22"/>
  <c r="AR100" i="22"/>
  <c r="AQ100" i="22"/>
  <c r="AR99" i="22"/>
  <c r="AQ99" i="22"/>
  <c r="AR98" i="22"/>
  <c r="AQ98" i="22"/>
  <c r="AR97" i="22"/>
  <c r="AQ97" i="22"/>
  <c r="AR96" i="22"/>
  <c r="AQ96" i="22"/>
  <c r="AR95" i="22"/>
  <c r="AQ95" i="22"/>
  <c r="AR94" i="22"/>
  <c r="AQ94" i="22"/>
  <c r="AR91" i="22"/>
  <c r="AQ91" i="22"/>
  <c r="AR90" i="22"/>
  <c r="AQ90" i="22"/>
  <c r="AR89" i="22"/>
  <c r="AQ89" i="22"/>
  <c r="AR88" i="22"/>
  <c r="AQ88" i="22"/>
  <c r="AR87" i="22"/>
  <c r="AQ87" i="22"/>
  <c r="AR85" i="22"/>
  <c r="AQ85" i="22"/>
  <c r="AR84" i="22"/>
  <c r="AQ84" i="22"/>
  <c r="AR83" i="22"/>
  <c r="AQ83" i="22"/>
  <c r="AR82" i="22"/>
  <c r="AQ82" i="22"/>
  <c r="AR80" i="22"/>
  <c r="AQ80" i="22"/>
  <c r="AR79" i="22"/>
  <c r="AQ79" i="22"/>
  <c r="AR78" i="22"/>
  <c r="AQ78" i="22"/>
  <c r="AR77" i="22"/>
  <c r="AQ77" i="22"/>
  <c r="AR76" i="22"/>
  <c r="AQ76" i="22"/>
  <c r="AR75" i="22"/>
  <c r="AQ75" i="22"/>
  <c r="AR74" i="22"/>
  <c r="AQ74" i="22"/>
  <c r="AR73" i="22"/>
  <c r="AQ73" i="22"/>
  <c r="AR69" i="22"/>
  <c r="AQ69" i="22"/>
  <c r="AR68" i="22"/>
  <c r="AQ68" i="22"/>
  <c r="AR67" i="22"/>
  <c r="AQ67" i="22"/>
  <c r="AR65" i="22"/>
  <c r="AQ65" i="22"/>
  <c r="AR64" i="22"/>
  <c r="AQ64" i="22"/>
  <c r="AR63" i="22"/>
  <c r="AQ63" i="22"/>
  <c r="AR62" i="22"/>
  <c r="AQ62" i="22"/>
  <c r="AR61" i="22"/>
  <c r="AQ61" i="22"/>
  <c r="AR60" i="22"/>
  <c r="AQ60" i="22"/>
  <c r="AR59" i="22"/>
  <c r="AQ59" i="22"/>
  <c r="AR58" i="22"/>
  <c r="AQ58" i="22"/>
  <c r="AR57" i="22"/>
  <c r="AQ57" i="22"/>
  <c r="AR56" i="22"/>
  <c r="AQ56" i="22"/>
  <c r="AR54" i="22"/>
  <c r="AQ54" i="22"/>
  <c r="AR53" i="22"/>
  <c r="AQ53" i="22"/>
  <c r="AR52" i="22"/>
  <c r="AQ52" i="22"/>
  <c r="AR51" i="22"/>
  <c r="AQ51" i="22"/>
  <c r="AR50" i="22"/>
  <c r="AQ50" i="22"/>
  <c r="AR48" i="22"/>
  <c r="AQ48" i="22"/>
  <c r="AR47" i="22"/>
  <c r="AQ47" i="22"/>
  <c r="AR46" i="22"/>
  <c r="AQ46" i="22"/>
  <c r="AR45" i="22"/>
  <c r="AQ45" i="22"/>
  <c r="AR44" i="22"/>
  <c r="AQ44" i="22"/>
  <c r="AR43" i="22"/>
  <c r="AQ43" i="22"/>
  <c r="AR42" i="22"/>
  <c r="AQ42" i="22"/>
  <c r="AR41" i="22"/>
  <c r="AQ41" i="22"/>
  <c r="AR40" i="22"/>
  <c r="AQ40" i="22"/>
  <c r="AR39" i="22"/>
  <c r="AQ39" i="22"/>
  <c r="AR38" i="22"/>
  <c r="AQ38" i="22"/>
  <c r="AR37" i="22"/>
  <c r="AQ37" i="22"/>
  <c r="AR36" i="22"/>
  <c r="AQ36" i="22"/>
  <c r="AR35" i="22"/>
  <c r="AQ35" i="22"/>
  <c r="AR31" i="22"/>
  <c r="AQ31" i="22"/>
  <c r="AR30" i="22"/>
  <c r="AQ30" i="22"/>
  <c r="AR29" i="22"/>
  <c r="AQ29" i="22"/>
  <c r="AR28" i="22"/>
  <c r="AQ28" i="22"/>
  <c r="AR27" i="22"/>
  <c r="AQ27" i="22"/>
  <c r="AR26" i="22"/>
  <c r="AQ26" i="22"/>
  <c r="AR25" i="22"/>
  <c r="AQ25" i="22"/>
  <c r="AR24" i="22"/>
  <c r="AQ24" i="22"/>
  <c r="AR23" i="22"/>
  <c r="AQ23" i="22"/>
  <c r="AR20" i="22"/>
  <c r="AQ20" i="22"/>
  <c r="AR19" i="22"/>
  <c r="AQ19" i="22"/>
  <c r="AR18" i="22"/>
  <c r="AQ18" i="22"/>
  <c r="AR17" i="22"/>
  <c r="AQ17" i="22"/>
  <c r="AR16" i="22"/>
  <c r="AQ16" i="22"/>
  <c r="AR15" i="22"/>
  <c r="AQ15" i="22"/>
  <c r="AR14" i="22"/>
  <c r="AQ14" i="22"/>
  <c r="AR13" i="22"/>
  <c r="AQ13" i="22"/>
  <c r="E26" i="33" l="1" a="1"/>
  <c r="E26" i="33" s="1"/>
  <c r="E27" i="33" a="1"/>
  <c r="E27" i="33" s="1"/>
  <c r="D27" i="33" a="1"/>
  <c r="D27" i="33" s="1"/>
  <c r="D26" i="33" a="1"/>
  <c r="D26" i="33" s="1"/>
  <c r="I27" i="33" a="1"/>
  <c r="I27" i="33" s="1"/>
  <c r="I26" i="33" a="1"/>
  <c r="I26" i="33" s="1"/>
  <c r="H27" i="33" a="1"/>
  <c r="H27" i="33" s="1"/>
  <c r="H26" i="33" a="1"/>
  <c r="H26" i="33" s="1"/>
  <c r="I57" i="33" a="1"/>
  <c r="I57" i="33" s="1"/>
  <c r="I49" i="33" a="1"/>
  <c r="I49" i="33" s="1"/>
  <c r="I43" i="33" a="1"/>
  <c r="I43" i="33" s="1"/>
  <c r="I35" i="33" a="1"/>
  <c r="I35" i="33" s="1"/>
  <c r="I29" i="33" a="1"/>
  <c r="I29" i="33" s="1"/>
  <c r="I23" i="33" a="1"/>
  <c r="I23" i="33" s="1"/>
  <c r="I19" i="33" a="1"/>
  <c r="I19" i="33" s="1"/>
  <c r="I56" i="33" a="1"/>
  <c r="I56" i="33" s="1"/>
  <c r="I34" i="33" a="1"/>
  <c r="I34" i="33" s="1"/>
  <c r="I16" i="33" a="1"/>
  <c r="I16" i="33" s="1"/>
  <c r="I53" i="33" a="1"/>
  <c r="I53" i="33" s="1"/>
  <c r="I45" i="33" a="1"/>
  <c r="I45" i="33" s="1"/>
  <c r="I39" i="33" a="1"/>
  <c r="I39" i="33" s="1"/>
  <c r="I33" i="33" a="1"/>
  <c r="I33" i="33" s="1"/>
  <c r="I21" i="33" a="1"/>
  <c r="I21" i="33" s="1"/>
  <c r="I15" i="33" a="1"/>
  <c r="I15" i="33" s="1"/>
  <c r="I42" i="33" a="1"/>
  <c r="I42" i="33" s="1"/>
  <c r="I22" i="33" a="1"/>
  <c r="I22" i="33" s="1"/>
  <c r="I52" i="33" a="1"/>
  <c r="I52" i="33" s="1"/>
  <c r="I44" i="33" a="1"/>
  <c r="I44" i="33" s="1"/>
  <c r="I38" i="33" a="1"/>
  <c r="I38" i="33" s="1"/>
  <c r="I30" i="33" a="1"/>
  <c r="I30" i="33" s="1"/>
  <c r="I20" i="33" a="1"/>
  <c r="I20" i="33" s="1"/>
  <c r="I14" i="33" a="1"/>
  <c r="I14" i="33" s="1"/>
  <c r="I48" i="33" a="1"/>
  <c r="I48" i="33" s="1"/>
  <c r="I28" i="33" a="1"/>
  <c r="I28" i="33" s="1"/>
  <c r="E57" i="33" a="1"/>
  <c r="E57" i="33" s="1"/>
  <c r="E49" i="33" a="1"/>
  <c r="E49" i="33" s="1"/>
  <c r="E43" i="33" a="1"/>
  <c r="E43" i="33" s="1"/>
  <c r="E35" i="33" a="1"/>
  <c r="E35" i="33" s="1"/>
  <c r="E29" i="33" a="1"/>
  <c r="E29" i="33" s="1"/>
  <c r="E23" i="33" a="1"/>
  <c r="E23" i="33" s="1"/>
  <c r="E19" i="33" a="1"/>
  <c r="E19" i="33" s="1"/>
  <c r="E56" i="33" a="1"/>
  <c r="E56" i="33" s="1"/>
  <c r="E48" i="33" a="1"/>
  <c r="E48" i="33" s="1"/>
  <c r="E42" i="33" a="1"/>
  <c r="E42" i="33" s="1"/>
  <c r="E34" i="33" a="1"/>
  <c r="E34" i="33" s="1"/>
  <c r="E28" i="33" a="1"/>
  <c r="E28" i="33" s="1"/>
  <c r="E22" i="33" a="1"/>
  <c r="E22" i="33" s="1"/>
  <c r="E16" i="33" a="1"/>
  <c r="E16" i="33" s="1"/>
  <c r="E53" i="33" a="1"/>
  <c r="E53" i="33" s="1"/>
  <c r="E45" i="33" a="1"/>
  <c r="E45" i="33" s="1"/>
  <c r="E39" i="33" a="1"/>
  <c r="E39" i="33" s="1"/>
  <c r="E33" i="33" a="1"/>
  <c r="E33" i="33" s="1"/>
  <c r="E21" i="33" a="1"/>
  <c r="E21" i="33" s="1"/>
  <c r="E15" i="33" a="1"/>
  <c r="E15" i="33" s="1"/>
  <c r="E52" i="33" a="1"/>
  <c r="E52" i="33" s="1"/>
  <c r="E44" i="33" a="1"/>
  <c r="E44" i="33" s="1"/>
  <c r="E38" i="33" a="1"/>
  <c r="E38" i="33" s="1"/>
  <c r="E30" i="33" a="1"/>
  <c r="E30" i="33" s="1"/>
  <c r="E20" i="33" a="1"/>
  <c r="E20" i="33" s="1"/>
  <c r="E14" i="33" a="1"/>
  <c r="E14" i="33" s="1"/>
  <c r="H56" i="33" a="1"/>
  <c r="H56" i="33" s="1"/>
  <c r="H48" i="33" a="1"/>
  <c r="H48" i="33" s="1"/>
  <c r="H42" i="33" a="1"/>
  <c r="H42" i="33" s="1"/>
  <c r="H34" i="33" a="1"/>
  <c r="H34" i="33" s="1"/>
  <c r="H28" i="33" a="1"/>
  <c r="H28" i="33" s="1"/>
  <c r="H22" i="33" a="1"/>
  <c r="H22" i="33" s="1"/>
  <c r="H16" i="33" a="1"/>
  <c r="H16" i="33" s="1"/>
  <c r="H53" i="33" a="1"/>
  <c r="H53" i="33" s="1"/>
  <c r="H45" i="33" a="1"/>
  <c r="H45" i="33" s="1"/>
  <c r="H39" i="33" a="1"/>
  <c r="H39" i="33" s="1"/>
  <c r="H33" i="33" a="1"/>
  <c r="H33" i="33" s="1"/>
  <c r="H21" i="33" a="1"/>
  <c r="H21" i="33" s="1"/>
  <c r="H15" i="33" a="1"/>
  <c r="H15" i="33" s="1"/>
  <c r="H52" i="33" a="1"/>
  <c r="H52" i="33" s="1"/>
  <c r="H44" i="33" a="1"/>
  <c r="H44" i="33" s="1"/>
  <c r="H38" i="33" a="1"/>
  <c r="H38" i="33" s="1"/>
  <c r="H30" i="33" a="1"/>
  <c r="H30" i="33" s="1"/>
  <c r="H20" i="33" a="1"/>
  <c r="H20" i="33" s="1"/>
  <c r="H14" i="33" a="1"/>
  <c r="H14" i="33" s="1"/>
  <c r="H43" i="33" a="1"/>
  <c r="H43" i="33" s="1"/>
  <c r="H19" i="33" a="1"/>
  <c r="H19" i="33" s="1"/>
  <c r="H35" i="33" a="1"/>
  <c r="H35" i="33" s="1"/>
  <c r="H49" i="33" a="1"/>
  <c r="H49" i="33" s="1"/>
  <c r="H23" i="33" a="1"/>
  <c r="H23" i="33" s="1"/>
  <c r="H29" i="33" a="1"/>
  <c r="H29" i="33" s="1"/>
  <c r="H57" i="33" a="1"/>
  <c r="H57" i="33" s="1"/>
  <c r="D56" i="33" a="1"/>
  <c r="D56" i="33" s="1"/>
  <c r="D48" i="33" a="1"/>
  <c r="D48" i="33" s="1"/>
  <c r="D42" i="33" a="1"/>
  <c r="D42" i="33" s="1"/>
  <c r="D34" i="33" a="1"/>
  <c r="D34" i="33" s="1"/>
  <c r="D28" i="33" a="1"/>
  <c r="D28" i="33" s="1"/>
  <c r="D22" i="33" a="1"/>
  <c r="D22" i="33" s="1"/>
  <c r="D16" i="33" a="1"/>
  <c r="D16" i="33" s="1"/>
  <c r="D53" i="33" a="1"/>
  <c r="D53" i="33" s="1"/>
  <c r="D45" i="33" a="1"/>
  <c r="D45" i="33" s="1"/>
  <c r="D39" i="33" a="1"/>
  <c r="D39" i="33" s="1"/>
  <c r="D33" i="33" a="1"/>
  <c r="D33" i="33" s="1"/>
  <c r="D21" i="33" a="1"/>
  <c r="D21" i="33" s="1"/>
  <c r="D15" i="33" a="1"/>
  <c r="D15" i="33" s="1"/>
  <c r="D52" i="33" a="1"/>
  <c r="D52" i="33" s="1"/>
  <c r="D44" i="33" a="1"/>
  <c r="D44" i="33" s="1"/>
  <c r="D38" i="33" a="1"/>
  <c r="D38" i="33" s="1"/>
  <c r="D30" i="33" a="1"/>
  <c r="D30" i="33" s="1"/>
  <c r="D20" i="33" a="1"/>
  <c r="D20" i="33" s="1"/>
  <c r="D14" i="33" a="1"/>
  <c r="D14" i="33" s="1"/>
  <c r="D57" i="33" a="1"/>
  <c r="D57" i="33" s="1"/>
  <c r="D29" i="33" a="1"/>
  <c r="D29" i="33" s="1"/>
  <c r="D49" i="33" a="1"/>
  <c r="D49" i="33" s="1"/>
  <c r="D23" i="33" a="1"/>
  <c r="D23" i="33" s="1"/>
  <c r="D35" i="33" a="1"/>
  <c r="D35" i="33" s="1"/>
  <c r="D43" i="33" a="1"/>
  <c r="D43" i="33" s="1"/>
  <c r="D19" i="33" a="1"/>
  <c r="D19" i="33" s="1"/>
  <c r="L6" i="31"/>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H13" i="34" l="1"/>
  <c r="H17" i="34"/>
  <c r="H21" i="34"/>
  <c r="H19" i="34"/>
  <c r="H38" i="34"/>
  <c r="H32" i="34"/>
  <c r="H15" i="34"/>
  <c r="H20" i="34"/>
  <c r="H16" i="34"/>
  <c r="H18" i="34"/>
  <c r="H31" i="34"/>
  <c r="H35" i="34"/>
  <c r="H36" i="34"/>
  <c r="H34" i="34"/>
  <c r="H33" i="34"/>
  <c r="H39" i="34"/>
  <c r="H14" i="34"/>
  <c r="H37" i="34"/>
  <c r="E54" i="33"/>
  <c r="I58" i="33"/>
  <c r="I17" i="33"/>
  <c r="I40" i="33"/>
  <c r="I54" i="33"/>
  <c r="E31" i="33"/>
  <c r="E36" i="33"/>
  <c r="E46" i="33"/>
  <c r="I50" i="33"/>
  <c r="I24" i="33"/>
  <c r="I31" i="33"/>
  <c r="I46" i="33"/>
  <c r="I36" i="33"/>
  <c r="E50" i="33"/>
  <c r="E17" i="33"/>
  <c r="E40" i="33"/>
  <c r="E58" i="33"/>
  <c r="E24" i="33"/>
  <c r="E37" i="34"/>
  <c r="F37" i="23"/>
  <c r="F17" i="23"/>
  <c r="E17" i="34"/>
  <c r="F21" i="23"/>
  <c r="E21" i="34"/>
  <c r="F31" i="23"/>
  <c r="E31" i="34"/>
  <c r="F14" i="23"/>
  <c r="E14" i="34"/>
  <c r="E19" i="34"/>
  <c r="F19" i="23"/>
  <c r="F13" i="23"/>
  <c r="H13" i="23" s="1"/>
  <c r="E13" i="34"/>
  <c r="F35" i="23"/>
  <c r="E35" i="34"/>
  <c r="F39" i="23"/>
  <c r="E39" i="34"/>
  <c r="E15" i="34"/>
  <c r="F15" i="23"/>
  <c r="E20" i="34"/>
  <c r="F20" i="23"/>
  <c r="E16" i="34"/>
  <c r="F16" i="23"/>
  <c r="F18" i="23"/>
  <c r="E18" i="34"/>
  <c r="E32" i="34"/>
  <c r="F32" i="23"/>
  <c r="E33" i="34"/>
  <c r="F33" i="23"/>
  <c r="F38" i="23"/>
  <c r="E38" i="34"/>
  <c r="F34" i="23"/>
  <c r="E34" i="34"/>
  <c r="E36" i="34"/>
  <c r="F36" i="23"/>
  <c r="D24" i="33"/>
  <c r="D17" i="33"/>
  <c r="D40" i="33"/>
  <c r="D58" i="33"/>
  <c r="H17" i="33"/>
  <c r="H40" i="33"/>
  <c r="D31" i="33"/>
  <c r="D54" i="33"/>
  <c r="D36" i="33"/>
  <c r="D46" i="33"/>
  <c r="H24" i="33"/>
  <c r="H31" i="33"/>
  <c r="H54" i="33"/>
  <c r="H36" i="33"/>
  <c r="H46" i="33"/>
  <c r="D50" i="33"/>
  <c r="H50" i="33"/>
  <c r="H58" i="33"/>
  <c r="M59" i="32"/>
  <c r="D39" i="24"/>
  <c r="L11" i="24"/>
  <c r="O60" i="32"/>
  <c r="O59" i="32"/>
  <c r="J38" i="34" l="1"/>
  <c r="H37" i="23"/>
  <c r="K37" i="23" s="1"/>
  <c r="M37" i="23" s="1"/>
  <c r="J37" i="34"/>
  <c r="J33" i="34"/>
  <c r="J31" i="34"/>
  <c r="J15" i="34"/>
  <c r="J21" i="34"/>
  <c r="H39" i="23"/>
  <c r="K39" i="23" s="1"/>
  <c r="M39" i="23" s="1"/>
  <c r="J14" i="34"/>
  <c r="J36" i="34"/>
  <c r="J16" i="34"/>
  <c r="J13" i="34"/>
  <c r="G34" i="34"/>
  <c r="J34" i="34"/>
  <c r="J18" i="34"/>
  <c r="J32" i="34"/>
  <c r="J17" i="34"/>
  <c r="J39" i="34"/>
  <c r="J35" i="34"/>
  <c r="J20" i="34"/>
  <c r="J19" i="34"/>
  <c r="E41" i="34"/>
  <c r="F37" i="34" s="1"/>
  <c r="G36" i="34"/>
  <c r="G32" i="34"/>
  <c r="H23" i="34"/>
  <c r="I15" i="34" s="1"/>
  <c r="G18" i="34"/>
  <c r="G17" i="34"/>
  <c r="G33" i="34"/>
  <c r="G16" i="34"/>
  <c r="G39" i="34"/>
  <c r="G13" i="34"/>
  <c r="E23" i="34"/>
  <c r="F20" i="34" s="1"/>
  <c r="G19" i="34"/>
  <c r="G21" i="34"/>
  <c r="G37" i="34"/>
  <c r="G35" i="34"/>
  <c r="G14" i="34"/>
  <c r="G31" i="34"/>
  <c r="G20" i="34"/>
  <c r="G38" i="34"/>
  <c r="G15" i="34"/>
  <c r="H38" i="23"/>
  <c r="K38" i="23" s="1"/>
  <c r="M38" i="23" s="1"/>
  <c r="H33" i="23"/>
  <c r="K33" i="23" s="1"/>
  <c r="M33" i="23" s="1"/>
  <c r="H35" i="23"/>
  <c r="K35" i="23" s="1"/>
  <c r="M35" i="23" s="1"/>
  <c r="H31" i="23"/>
  <c r="F41" i="23"/>
  <c r="G37" i="23" s="1"/>
  <c r="H36" i="23"/>
  <c r="K36" i="23" s="1"/>
  <c r="M36" i="23" s="1"/>
  <c r="H34" i="23"/>
  <c r="K34" i="23" s="1"/>
  <c r="M34" i="23" s="1"/>
  <c r="H32" i="23"/>
  <c r="K32" i="23" s="1"/>
  <c r="M32" i="23" s="1"/>
  <c r="K11" i="32"/>
  <c r="U11" i="24"/>
  <c r="T11" i="32" s="1"/>
  <c r="F18" i="34" l="1"/>
  <c r="I16" i="34"/>
  <c r="I20" i="34"/>
  <c r="I14" i="34"/>
  <c r="I18" i="34"/>
  <c r="F38" i="34"/>
  <c r="I17" i="34"/>
  <c r="J23" i="34"/>
  <c r="F32" i="34"/>
  <c r="G32" i="23"/>
  <c r="I19" i="34"/>
  <c r="F19" i="34"/>
  <c r="G33" i="23"/>
  <c r="F17" i="34"/>
  <c r="G34" i="23"/>
  <c r="G31" i="23"/>
  <c r="I21" i="34"/>
  <c r="F39" i="34"/>
  <c r="F16" i="34"/>
  <c r="F35" i="34"/>
  <c r="F21" i="34"/>
  <c r="F15" i="34"/>
  <c r="F36" i="34"/>
  <c r="F33" i="34"/>
  <c r="F34" i="34"/>
  <c r="F13" i="34"/>
  <c r="F31" i="34"/>
  <c r="G36" i="23"/>
  <c r="I13" i="34"/>
  <c r="G39" i="23"/>
  <c r="G35" i="23"/>
  <c r="G38" i="23"/>
  <c r="F14" i="34"/>
  <c r="G23" i="34"/>
  <c r="G41" i="34"/>
  <c r="K31" i="23"/>
  <c r="H41" i="23"/>
  <c r="T62" i="32"/>
  <c r="AD11" i="24"/>
  <c r="I23" i="34" l="1"/>
  <c r="F41" i="34"/>
  <c r="H41" i="34"/>
  <c r="I38" i="34" s="1"/>
  <c r="J41" i="34"/>
  <c r="F23" i="34"/>
  <c r="K41" i="23"/>
  <c r="M31" i="23"/>
  <c r="M41" i="23" s="1"/>
  <c r="B6" i="22"/>
  <c r="B4" i="22"/>
  <c r="I33" i="34" l="1"/>
  <c r="I36" i="34"/>
  <c r="I34" i="34"/>
  <c r="I32" i="34"/>
  <c r="I39" i="34"/>
  <c r="I37" i="34"/>
  <c r="I31" i="34"/>
  <c r="I35" i="34"/>
  <c r="AU91" i="22"/>
  <c r="AU208" i="22"/>
  <c r="AU53" i="22"/>
  <c r="AU199" i="22"/>
  <c r="AU13" i="22"/>
  <c r="AU168" i="22"/>
  <c r="AU220" i="22"/>
  <c r="AU19" i="22"/>
  <c r="AU169" i="22"/>
  <c r="AU250" i="22"/>
  <c r="U4" i="24"/>
  <c r="AD4" i="24"/>
  <c r="L4" i="24"/>
  <c r="M4" i="23"/>
  <c r="K4" i="26"/>
  <c r="C248" i="22"/>
  <c r="V248" i="22" s="1"/>
  <c r="C244" i="22"/>
  <c r="V244" i="22" s="1"/>
  <c r="C193" i="22"/>
  <c r="V193" i="22" s="1"/>
  <c r="I41" i="34" l="1"/>
  <c r="AS248" i="22"/>
  <c r="Q248" i="22"/>
  <c r="AE248" i="22" s="1"/>
  <c r="AP248" i="22" s="1"/>
  <c r="AT248" i="22"/>
  <c r="AR248" i="22"/>
  <c r="L248" i="22"/>
  <c r="AD248" i="22" s="1"/>
  <c r="AK248" i="22" s="1"/>
  <c r="AQ248" i="22"/>
  <c r="AS193" i="22"/>
  <c r="Q193" i="22"/>
  <c r="AE193" i="22" s="1"/>
  <c r="AP193" i="22" s="1"/>
  <c r="AT193" i="22"/>
  <c r="AR193" i="22"/>
  <c r="L193" i="22"/>
  <c r="AD193" i="22" s="1"/>
  <c r="AK193" i="22" s="1"/>
  <c r="F15" i="33" s="1"/>
  <c r="AQ193" i="22"/>
  <c r="AS244" i="22"/>
  <c r="Q244" i="22"/>
  <c r="AE244" i="22" s="1"/>
  <c r="AP244" i="22" s="1"/>
  <c r="AT244" i="22"/>
  <c r="AR244" i="22"/>
  <c r="L244" i="22"/>
  <c r="AD244" i="22" s="1"/>
  <c r="AK244" i="22" s="1"/>
  <c r="AQ244" i="22"/>
  <c r="AF193" i="22"/>
  <c r="AF244" i="22"/>
  <c r="AF248" i="22"/>
  <c r="AU200" i="22"/>
  <c r="AU68" i="22"/>
  <c r="AU162" i="22"/>
  <c r="AU147" i="22"/>
  <c r="AU253" i="22"/>
  <c r="AU179" i="22"/>
  <c r="AU45" i="22"/>
  <c r="AU112" i="22"/>
  <c r="AU103" i="22"/>
  <c r="AU46" i="22"/>
  <c r="AU20" i="22"/>
  <c r="AU123" i="22"/>
  <c r="AU198" i="22"/>
  <c r="AU249" i="22"/>
  <c r="AU219" i="22"/>
  <c r="AU206" i="22"/>
  <c r="AU149" i="22"/>
  <c r="AU102" i="22"/>
  <c r="AU77" i="22"/>
  <c r="AU39" i="22"/>
  <c r="AU174" i="22"/>
  <c r="AU140" i="22"/>
  <c r="AU76" i="22"/>
  <c r="AU235" i="22"/>
  <c r="AU165" i="22"/>
  <c r="AU124" i="22"/>
  <c r="AU48" i="22"/>
  <c r="AU104" i="22"/>
  <c r="AU51" i="22"/>
  <c r="AU127" i="22"/>
  <c r="AU255" i="22"/>
  <c r="AU229" i="22"/>
  <c r="AU186" i="22"/>
  <c r="AU144" i="22"/>
  <c r="AU88" i="22"/>
  <c r="AU56" i="22"/>
  <c r="AU17" i="22"/>
  <c r="AU215" i="22"/>
  <c r="AU178" i="22"/>
  <c r="AU118" i="22"/>
  <c r="AU82" i="22"/>
  <c r="AU30" i="22"/>
  <c r="AU238" i="22"/>
  <c r="AU175" i="22"/>
  <c r="AU155" i="22"/>
  <c r="AU117" i="22"/>
  <c r="AU54" i="22"/>
  <c r="AU242" i="22"/>
  <c r="AU125" i="22"/>
  <c r="AU14" i="22"/>
  <c r="AU26" i="22"/>
  <c r="AU65" i="22"/>
  <c r="AU87" i="22"/>
  <c r="AU105" i="22"/>
  <c r="AU150" i="22"/>
  <c r="AU159" i="22"/>
  <c r="AU181" i="22"/>
  <c r="AU202" i="22"/>
  <c r="AU232" i="22"/>
  <c r="AU183" i="22"/>
  <c r="AU40" i="22"/>
  <c r="AU254" i="22"/>
  <c r="AU97" i="22"/>
  <c r="AU130" i="22"/>
  <c r="AU224" i="22"/>
  <c r="AU237" i="22"/>
  <c r="AU111" i="22"/>
  <c r="AU136" i="22"/>
  <c r="AU101" i="22"/>
  <c r="AU146" i="22"/>
  <c r="AU27" i="22"/>
  <c r="AU153" i="22"/>
  <c r="AU191" i="22"/>
  <c r="AU47" i="22"/>
  <c r="AU84" i="22"/>
  <c r="AU172" i="22"/>
  <c r="AU228" i="22"/>
  <c r="AU187" i="22"/>
  <c r="AU230" i="22"/>
  <c r="AU233" i="22"/>
  <c r="AU231" i="22"/>
  <c r="AU167" i="22"/>
  <c r="AU115" i="22"/>
  <c r="AU89" i="22"/>
  <c r="AU57" i="22"/>
  <c r="AU18" i="22"/>
  <c r="AU154" i="22"/>
  <c r="AU122" i="22"/>
  <c r="AU31" i="22"/>
  <c r="AU192" i="22"/>
  <c r="AU142" i="22"/>
  <c r="AU75" i="22"/>
  <c r="AU205" i="22"/>
  <c r="AU69" i="22"/>
  <c r="AU163" i="22"/>
  <c r="AU98" i="22"/>
  <c r="AU247" i="22"/>
  <c r="AU197" i="22"/>
  <c r="AU170" i="22"/>
  <c r="AU133" i="22"/>
  <c r="AU79" i="22"/>
  <c r="AU62" i="22"/>
  <c r="AU35" i="22"/>
  <c r="AU209" i="22"/>
  <c r="AU143" i="22"/>
  <c r="AU100" i="22"/>
  <c r="AU44" i="22"/>
  <c r="AU24" i="22"/>
  <c r="AU73" i="22"/>
  <c r="AU161" i="22"/>
  <c r="AU126" i="22"/>
  <c r="AU74" i="22"/>
  <c r="AU43" i="22"/>
  <c r="AU134" i="22"/>
  <c r="AU106" i="22"/>
  <c r="AU15" i="22"/>
  <c r="AU41" i="22"/>
  <c r="AU58" i="22"/>
  <c r="AU99" i="22"/>
  <c r="AU137" i="22"/>
  <c r="AU164" i="22"/>
  <c r="AU157" i="22"/>
  <c r="AU204" i="22"/>
  <c r="AU218" i="22"/>
  <c r="AU236" i="22"/>
  <c r="AU188" i="22"/>
  <c r="AU132" i="22"/>
  <c r="AU241" i="22"/>
  <c r="AU131" i="22"/>
  <c r="AU25" i="22"/>
  <c r="AU42" i="22"/>
  <c r="AU113" i="22"/>
  <c r="AU96" i="22"/>
  <c r="AU223" i="22"/>
  <c r="AU85" i="22"/>
  <c r="AU212" i="22"/>
  <c r="AU61" i="22"/>
  <c r="AU166" i="22"/>
  <c r="AU80" i="22"/>
  <c r="AU119" i="22"/>
  <c r="AU63" i="22"/>
  <c r="AU141" i="22"/>
  <c r="AU194" i="22"/>
  <c r="AU207" i="22"/>
  <c r="AU239" i="22"/>
  <c r="AU225" i="22"/>
  <c r="AU226" i="22"/>
  <c r="AU156" i="22"/>
  <c r="AU109" i="22"/>
  <c r="AU83" i="22"/>
  <c r="AU50" i="22"/>
  <c r="AU245" i="22"/>
  <c r="AU148" i="22"/>
  <c r="AU114" i="22"/>
  <c r="AU23" i="22"/>
  <c r="AU171" i="22"/>
  <c r="AU129" i="22"/>
  <c r="AU67" i="22"/>
  <c r="AU180" i="22"/>
  <c r="AU60" i="22"/>
  <c r="AU145" i="22"/>
  <c r="AU36" i="22"/>
  <c r="AU240" i="22"/>
  <c r="AU190" i="22"/>
  <c r="AU160" i="22"/>
  <c r="AU110" i="22"/>
  <c r="AU64" i="22"/>
  <c r="AU29" i="22"/>
  <c r="AU246" i="22"/>
  <c r="AU201" i="22"/>
  <c r="AU135" i="22"/>
  <c r="AU90" i="22"/>
  <c r="AU38" i="22"/>
  <c r="AU16" i="22"/>
  <c r="AU234" i="22"/>
  <c r="AU158" i="22"/>
  <c r="AU120" i="22"/>
  <c r="AU59" i="22"/>
  <c r="AU37" i="22"/>
  <c r="AU128" i="22"/>
  <c r="AU95" i="22"/>
  <c r="AU28" i="22"/>
  <c r="AU52" i="22"/>
  <c r="AU78" i="22"/>
  <c r="AU94" i="22"/>
  <c r="AU121" i="22"/>
  <c r="AU173" i="22"/>
  <c r="AU182" i="22"/>
  <c r="AU203" i="22"/>
  <c r="AU214" i="22"/>
  <c r="AU227" i="22"/>
  <c r="AU116" i="22"/>
  <c r="K11" i="24"/>
  <c r="J11" i="24"/>
  <c r="I11" i="24"/>
  <c r="H11" i="24"/>
  <c r="G11" i="24"/>
  <c r="F11" i="24"/>
  <c r="U23" i="24"/>
  <c r="K25" i="26"/>
  <c r="K41" i="26" s="1"/>
  <c r="K57" i="26" s="1"/>
  <c r="L23" i="23"/>
  <c r="D9" i="26"/>
  <c r="K11" i="26"/>
  <c r="K12" i="26"/>
  <c r="K13" i="26"/>
  <c r="K14" i="26"/>
  <c r="K15" i="26"/>
  <c r="K16" i="26"/>
  <c r="K17" i="26"/>
  <c r="K18" i="26"/>
  <c r="K19" i="26"/>
  <c r="E25" i="26"/>
  <c r="E41" i="26" s="1"/>
  <c r="E57" i="26" s="1"/>
  <c r="F25" i="26"/>
  <c r="F41" i="26" s="1"/>
  <c r="F57" i="26" s="1"/>
  <c r="G25" i="26"/>
  <c r="G41" i="26" s="1"/>
  <c r="G57" i="26" s="1"/>
  <c r="H25" i="26"/>
  <c r="H41" i="26" s="1"/>
  <c r="H57" i="26" s="1"/>
  <c r="I25" i="26"/>
  <c r="I41" i="26" s="1"/>
  <c r="I57" i="26" s="1"/>
  <c r="J25" i="26"/>
  <c r="J41" i="26" s="1"/>
  <c r="J57" i="26" s="1"/>
  <c r="F30" i="33" l="1" a="1"/>
  <c r="F30" i="33" s="1"/>
  <c r="L42" i="33" a="1"/>
  <c r="L42" i="33" s="1"/>
  <c r="L16" i="33" a="1"/>
  <c r="L16" i="33" s="1"/>
  <c r="L33" i="33" a="1"/>
  <c r="L33" i="33" s="1"/>
  <c r="L44" i="33" a="1"/>
  <c r="L44" i="33" s="1"/>
  <c r="L14" i="33" a="1"/>
  <c r="L14" i="33" s="1"/>
  <c r="L23" i="33" a="1"/>
  <c r="L23" i="33" s="1"/>
  <c r="E51" i="24" a="1"/>
  <c r="E51" i="24" s="1"/>
  <c r="E25" i="24" a="1"/>
  <c r="E25" i="24" s="1"/>
  <c r="E48" i="24" a="1"/>
  <c r="E48" i="24" s="1"/>
  <c r="E22" i="24" a="1"/>
  <c r="E22" i="24" s="1"/>
  <c r="E41" i="24" a="1"/>
  <c r="E41" i="24" s="1"/>
  <c r="E15" i="24" a="1"/>
  <c r="E15" i="24" s="1"/>
  <c r="E32" i="24" a="1"/>
  <c r="E32" i="24" s="1"/>
  <c r="L53" i="33" a="1"/>
  <c r="L53" i="33" s="1"/>
  <c r="L38" i="33" a="1"/>
  <c r="L38" i="33" s="1"/>
  <c r="L35" i="33" a="1"/>
  <c r="L35" i="33" s="1"/>
  <c r="E19" i="24" a="1"/>
  <c r="E19" i="24" s="1"/>
  <c r="E43" i="24" a="1"/>
  <c r="E43" i="24" s="1"/>
  <c r="E13" i="24" a="1"/>
  <c r="E13" i="24" s="1"/>
  <c r="L27" i="33" a="1"/>
  <c r="L27" i="33" s="1"/>
  <c r="L56" i="33" a="1"/>
  <c r="L56" i="33" s="1"/>
  <c r="L28" i="33" a="1"/>
  <c r="L28" i="33" s="1"/>
  <c r="L45" i="33" a="1"/>
  <c r="L45" i="33" s="1"/>
  <c r="L15" i="33" a="1"/>
  <c r="L15" i="33" s="1"/>
  <c r="L30" i="33" a="1"/>
  <c r="L30" i="33" s="1"/>
  <c r="L29" i="33" a="1"/>
  <c r="L29" i="33" s="1"/>
  <c r="L19" i="33" a="1"/>
  <c r="L19" i="33" s="1"/>
  <c r="E38" i="24" a="1"/>
  <c r="E38" i="24" s="1"/>
  <c r="E14" i="24" a="1"/>
  <c r="E14" i="24" s="1"/>
  <c r="E33" i="24" a="1"/>
  <c r="E33" i="24" s="1"/>
  <c r="L43" i="33" a="1"/>
  <c r="L43" i="33" s="1"/>
  <c r="E29" i="24" a="1"/>
  <c r="E29" i="24" s="1"/>
  <c r="E42" i="24" a="1"/>
  <c r="E42" i="24" s="1"/>
  <c r="E18" i="24" a="1"/>
  <c r="E18" i="24" s="1"/>
  <c r="E20" i="24" a="1"/>
  <c r="E20" i="24" s="1"/>
  <c r="E26" i="24" a="1"/>
  <c r="E26" i="24" s="1"/>
  <c r="L26" i="33" a="1"/>
  <c r="L26" i="33" s="1"/>
  <c r="L48" i="33" a="1"/>
  <c r="L48" i="33" s="1"/>
  <c r="L22" i="33" a="1"/>
  <c r="L22" i="33" s="1"/>
  <c r="L39" i="33" a="1"/>
  <c r="L39" i="33" s="1"/>
  <c r="L52" i="33" a="1"/>
  <c r="L52" i="33" s="1"/>
  <c r="L20" i="33" a="1"/>
  <c r="L20" i="33" s="1"/>
  <c r="L49" i="33" a="1"/>
  <c r="L49" i="33" s="1"/>
  <c r="E56" i="24" a="1"/>
  <c r="E56" i="24" s="1"/>
  <c r="E28" i="24" a="1"/>
  <c r="E28" i="24" s="1"/>
  <c r="E55" i="24" a="1"/>
  <c r="E55" i="24" s="1"/>
  <c r="E27" i="24" a="1"/>
  <c r="E27" i="24" s="1"/>
  <c r="E47" i="24" a="1"/>
  <c r="E47" i="24" s="1"/>
  <c r="E21" i="24" a="1"/>
  <c r="E21" i="24" s="1"/>
  <c r="E52" i="24" a="1"/>
  <c r="E52" i="24" s="1"/>
  <c r="E37" i="24" a="1"/>
  <c r="E37" i="24" s="1"/>
  <c r="L34" i="33" a="1"/>
  <c r="L34" i="33" s="1"/>
  <c r="L21" i="33" a="1"/>
  <c r="L21" i="33" s="1"/>
  <c r="L57" i="33" a="1"/>
  <c r="L57" i="33" s="1"/>
  <c r="E44" i="24" a="1"/>
  <c r="E44" i="24" s="1"/>
  <c r="E34" i="24" a="1"/>
  <c r="E34" i="24" s="1"/>
  <c r="M27" i="33" a="1"/>
  <c r="M27" i="33" s="1"/>
  <c r="M57" i="33" a="1"/>
  <c r="M57" i="33" s="1"/>
  <c r="M29" i="33" a="1"/>
  <c r="M29" i="33" s="1"/>
  <c r="M56" i="33" a="1"/>
  <c r="M56" i="33" s="1"/>
  <c r="M33" i="33" a="1"/>
  <c r="M33" i="33" s="1"/>
  <c r="M44" i="33" a="1"/>
  <c r="M44" i="33" s="1"/>
  <c r="M14" i="33" a="1"/>
  <c r="M14" i="33" s="1"/>
  <c r="M28" i="33" a="1"/>
  <c r="M28" i="33" s="1"/>
  <c r="M26" i="33" a="1"/>
  <c r="M26" i="33" s="1"/>
  <c r="M49" i="33" a="1"/>
  <c r="M49" i="33" s="1"/>
  <c r="M23" i="33" a="1"/>
  <c r="M23" i="33" s="1"/>
  <c r="M53" i="33" a="1"/>
  <c r="M53" i="33" s="1"/>
  <c r="M21" i="33" a="1"/>
  <c r="M21" i="33" s="1"/>
  <c r="M38" i="33" a="1"/>
  <c r="M38" i="33" s="1"/>
  <c r="M42" i="33" a="1"/>
  <c r="M42" i="33" s="1"/>
  <c r="M22" i="33" a="1"/>
  <c r="M22" i="33" s="1"/>
  <c r="M43" i="33" a="1"/>
  <c r="M43" i="33" s="1"/>
  <c r="M19" i="33" a="1"/>
  <c r="M19" i="33" s="1"/>
  <c r="M45" i="33" a="1"/>
  <c r="M45" i="33" s="1"/>
  <c r="M15" i="33" a="1"/>
  <c r="M15" i="33" s="1"/>
  <c r="M30" i="33" a="1"/>
  <c r="M30" i="33" s="1"/>
  <c r="M16" i="33" a="1"/>
  <c r="M16" i="33" s="1"/>
  <c r="M35" i="33" a="1"/>
  <c r="M35" i="33" s="1"/>
  <c r="M48" i="33" a="1"/>
  <c r="M48" i="33" s="1"/>
  <c r="M39" i="33" a="1"/>
  <c r="M39" i="33" s="1"/>
  <c r="M52" i="33" a="1"/>
  <c r="M52" i="33" s="1"/>
  <c r="M20" i="33" a="1"/>
  <c r="M20" i="33" s="1"/>
  <c r="M34" i="33" a="1"/>
  <c r="M34" i="33" s="1"/>
  <c r="J27" i="33" a="1"/>
  <c r="J27" i="33" s="1"/>
  <c r="J26" i="33" a="1"/>
  <c r="J26" i="33" s="1"/>
  <c r="F27" i="33" a="1"/>
  <c r="F27" i="33" s="1"/>
  <c r="F26" i="33" a="1"/>
  <c r="F26" i="33" s="1"/>
  <c r="J14" i="33" a="1"/>
  <c r="J14" i="33" s="1"/>
  <c r="J20" i="33" a="1"/>
  <c r="J20" i="33" s="1"/>
  <c r="J43" i="33" a="1"/>
  <c r="J43" i="33" s="1"/>
  <c r="J45" i="33" a="1"/>
  <c r="J45" i="33" s="1"/>
  <c r="J15" i="33" a="1"/>
  <c r="J15" i="33" s="1"/>
  <c r="J52" i="33" a="1"/>
  <c r="J52" i="33" s="1"/>
  <c r="J29" i="33" a="1"/>
  <c r="J29" i="33" s="1"/>
  <c r="AU193" i="22"/>
  <c r="J57" i="33" a="1"/>
  <c r="J57" i="33" s="1"/>
  <c r="AU248" i="22"/>
  <c r="AU244" i="22"/>
  <c r="H19" i="23"/>
  <c r="H21" i="23"/>
  <c r="K21" i="23" s="1"/>
  <c r="H18" i="23"/>
  <c r="H17" i="23"/>
  <c r="H15" i="23"/>
  <c r="H14" i="23"/>
  <c r="K14" i="23" s="1"/>
  <c r="H20" i="23"/>
  <c r="H16" i="23"/>
  <c r="K16" i="23" s="1"/>
  <c r="K47" i="26"/>
  <c r="K43" i="26"/>
  <c r="L16" i="24" s="1"/>
  <c r="K51" i="26"/>
  <c r="L57" i="24" s="1"/>
  <c r="K50" i="26"/>
  <c r="L53" i="24" s="1"/>
  <c r="K46" i="26"/>
  <c r="L35" i="24" s="1"/>
  <c r="K49" i="26"/>
  <c r="L49" i="24" s="1"/>
  <c r="K45" i="26"/>
  <c r="L30" i="24" s="1"/>
  <c r="K48" i="26"/>
  <c r="L45" i="24" s="1"/>
  <c r="K44" i="26"/>
  <c r="L23" i="24" s="1"/>
  <c r="K64" i="26"/>
  <c r="U45" i="24" s="1"/>
  <c r="D25" i="26"/>
  <c r="D41" i="26" s="1"/>
  <c r="D57" i="26" s="1"/>
  <c r="E11" i="24"/>
  <c r="N11" i="24" s="1"/>
  <c r="AD23" i="24"/>
  <c r="G11" i="32"/>
  <c r="E11" i="32"/>
  <c r="I11" i="32"/>
  <c r="H11" i="32"/>
  <c r="F11" i="32"/>
  <c r="J11" i="32"/>
  <c r="T11" i="24"/>
  <c r="Q11" i="24"/>
  <c r="R11" i="24"/>
  <c r="O11" i="24"/>
  <c r="S11" i="24"/>
  <c r="P11" i="24"/>
  <c r="K21" i="26"/>
  <c r="U57" i="24"/>
  <c r="K63" i="26"/>
  <c r="U39" i="24" s="1"/>
  <c r="K59" i="26"/>
  <c r="U16" i="24" s="1"/>
  <c r="U53" i="24"/>
  <c r="U35" i="24"/>
  <c r="K65" i="26"/>
  <c r="U49" i="24" s="1"/>
  <c r="U30" i="24"/>
  <c r="E49" i="34" l="1"/>
  <c r="E39" i="24"/>
  <c r="M54" i="33"/>
  <c r="H56" i="34"/>
  <c r="H53" i="34"/>
  <c r="M40" i="33"/>
  <c r="H54" i="34"/>
  <c r="M46" i="33"/>
  <c r="M17" i="33"/>
  <c r="H49" i="34"/>
  <c r="F50" i="23"/>
  <c r="L24" i="33"/>
  <c r="E50" i="34"/>
  <c r="E53" i="34"/>
  <c r="F53" i="23"/>
  <c r="L40" i="33"/>
  <c r="L36" i="33"/>
  <c r="F52" i="23"/>
  <c r="E52" i="34"/>
  <c r="L50" i="33"/>
  <c r="F55" i="23"/>
  <c r="E55" i="34"/>
  <c r="H51" i="34"/>
  <c r="M31" i="33"/>
  <c r="H52" i="34"/>
  <c r="M36" i="33"/>
  <c r="L54" i="33"/>
  <c r="E56" i="34"/>
  <c r="F56" i="23"/>
  <c r="E51" i="34"/>
  <c r="F51" i="23"/>
  <c r="L31" i="33"/>
  <c r="L58" i="33"/>
  <c r="F57" i="23"/>
  <c r="E57" i="34"/>
  <c r="F49" i="23"/>
  <c r="L17" i="33"/>
  <c r="F54" i="23"/>
  <c r="E54" i="34"/>
  <c r="L46" i="33"/>
  <c r="H50" i="34"/>
  <c r="M24" i="33"/>
  <c r="M50" i="33"/>
  <c r="H55" i="34"/>
  <c r="H57" i="34"/>
  <c r="M58" i="33"/>
  <c r="N26" i="33" a="1"/>
  <c r="N26" i="33" s="1"/>
  <c r="O26" i="33" s="1"/>
  <c r="N27" i="33" a="1"/>
  <c r="N27" i="33" s="1"/>
  <c r="N22" i="33" a="1"/>
  <c r="N22" i="33" s="1"/>
  <c r="O22" i="33" s="1"/>
  <c r="J30" i="33" a="1"/>
  <c r="J30" i="33" s="1"/>
  <c r="K30" i="33" s="1"/>
  <c r="J16" i="33" a="1"/>
  <c r="J16" i="33" s="1"/>
  <c r="K16" i="33" s="1"/>
  <c r="J34" i="33" a="1"/>
  <c r="J34" i="33" s="1"/>
  <c r="K34" i="33" s="1"/>
  <c r="J22" i="33" a="1"/>
  <c r="J22" i="33" s="1"/>
  <c r="K22" i="33" s="1"/>
  <c r="J56" i="33" a="1"/>
  <c r="J56" i="33" s="1"/>
  <c r="K56" i="33" s="1"/>
  <c r="J48" i="33" a="1"/>
  <c r="J48" i="33" s="1"/>
  <c r="J33" i="33" a="1"/>
  <c r="J33" i="33" s="1"/>
  <c r="K33" i="33" s="1"/>
  <c r="J38" i="33" a="1"/>
  <c r="J38" i="33" s="1"/>
  <c r="K38" i="33" s="1"/>
  <c r="J28" i="33" a="1"/>
  <c r="J28" i="33" s="1"/>
  <c r="K28" i="33" s="1"/>
  <c r="J19" i="33" a="1"/>
  <c r="J19" i="33" s="1"/>
  <c r="J35" i="33" a="1"/>
  <c r="J35" i="33" s="1"/>
  <c r="K35" i="33" s="1"/>
  <c r="J39" i="33" a="1"/>
  <c r="J39" i="33" s="1"/>
  <c r="K39" i="33" s="1"/>
  <c r="J53" i="33" a="1"/>
  <c r="J53" i="33" s="1"/>
  <c r="K53" i="33" s="1"/>
  <c r="J42" i="33" a="1"/>
  <c r="J42" i="33" s="1"/>
  <c r="J44" i="33" a="1"/>
  <c r="J44" i="33" s="1"/>
  <c r="K44" i="33" s="1"/>
  <c r="J23" i="33" a="1"/>
  <c r="J23" i="33" s="1"/>
  <c r="K23" i="33" s="1"/>
  <c r="J49" i="33" a="1"/>
  <c r="J49" i="33" s="1"/>
  <c r="K49" i="33" s="1"/>
  <c r="K27" i="33"/>
  <c r="J21" i="33" a="1"/>
  <c r="J21" i="33" s="1"/>
  <c r="K21" i="33" s="1"/>
  <c r="N19" i="24" a="1"/>
  <c r="N19" i="24" s="1"/>
  <c r="W19" i="24" s="1"/>
  <c r="D19" i="32" s="1"/>
  <c r="N15" i="24" a="1"/>
  <c r="N15" i="24" s="1"/>
  <c r="W15" i="24" s="1"/>
  <c r="D15" i="32" s="1"/>
  <c r="N20" i="33" a="1"/>
  <c r="N20" i="33" s="1"/>
  <c r="O20" i="33" s="1"/>
  <c r="N47" i="24" a="1"/>
  <c r="N47" i="24" s="1"/>
  <c r="W47" i="24" s="1"/>
  <c r="D47" i="32" s="1"/>
  <c r="N42" i="33" a="1"/>
  <c r="N42" i="33" s="1"/>
  <c r="O42" i="33" s="1"/>
  <c r="N27" i="24" a="1"/>
  <c r="N27" i="24" s="1"/>
  <c r="W27" i="24" s="1"/>
  <c r="D27" i="32" s="1"/>
  <c r="N29" i="24" a="1"/>
  <c r="N29" i="24" s="1"/>
  <c r="W29" i="24" s="1"/>
  <c r="D29" i="32" s="1"/>
  <c r="N28" i="33" a="1"/>
  <c r="N28" i="33" s="1"/>
  <c r="O28" i="33" s="1"/>
  <c r="N20" i="24" a="1"/>
  <c r="N20" i="24" s="1"/>
  <c r="W20" i="24" s="1"/>
  <c r="D20" i="32" s="1"/>
  <c r="N21" i="33" a="1"/>
  <c r="N21" i="33" s="1"/>
  <c r="O21" i="33" s="1"/>
  <c r="N56" i="24" a="1"/>
  <c r="N56" i="24" s="1"/>
  <c r="W56" i="24" s="1"/>
  <c r="D56" i="32" s="1"/>
  <c r="N34" i="24" a="1"/>
  <c r="N34" i="24" s="1"/>
  <c r="W34" i="24" s="1"/>
  <c r="D34" i="32" s="1"/>
  <c r="N19" i="33" a="1"/>
  <c r="N19" i="33" s="1"/>
  <c r="O19" i="33" s="1"/>
  <c r="N22" i="24" a="1"/>
  <c r="N22" i="24" s="1"/>
  <c r="W22" i="24" s="1"/>
  <c r="D22" i="32" s="1"/>
  <c r="N48" i="24" a="1"/>
  <c r="N48" i="24" s="1"/>
  <c r="W48" i="24" s="1"/>
  <c r="D48" i="32" s="1"/>
  <c r="N33" i="24" a="1"/>
  <c r="N33" i="24" s="1"/>
  <c r="W33" i="24" s="1"/>
  <c r="D33" i="32" s="1"/>
  <c r="N52" i="33" a="1"/>
  <c r="N52" i="33" s="1"/>
  <c r="O52" i="33" s="1"/>
  <c r="N52" i="24" a="1"/>
  <c r="N52" i="24" s="1"/>
  <c r="W52" i="24" s="1"/>
  <c r="D52" i="32" s="1"/>
  <c r="F28" i="33" a="1"/>
  <c r="F28" i="33" s="1"/>
  <c r="G28" i="33" s="1"/>
  <c r="N14" i="33" a="1"/>
  <c r="N14" i="33" s="1"/>
  <c r="O14" i="33" s="1"/>
  <c r="N29" i="33" a="1"/>
  <c r="N29" i="33" s="1"/>
  <c r="O29" i="33" s="1"/>
  <c r="N44" i="33" a="1"/>
  <c r="N44" i="33" s="1"/>
  <c r="O44" i="33" s="1"/>
  <c r="N26" i="24" a="1"/>
  <c r="N26" i="24" s="1"/>
  <c r="W26" i="24" s="1"/>
  <c r="D26" i="32" s="1"/>
  <c r="N15" i="33" a="1"/>
  <c r="N15" i="33" s="1"/>
  <c r="O15" i="33" s="1"/>
  <c r="N53" i="33" a="1"/>
  <c r="N53" i="33" s="1"/>
  <c r="O53" i="33" s="1"/>
  <c r="K45" i="33"/>
  <c r="N38" i="24" a="1"/>
  <c r="N38" i="24" s="1"/>
  <c r="W38" i="24" s="1"/>
  <c r="D38" i="32" s="1"/>
  <c r="N13" i="24" a="1"/>
  <c r="N13" i="24" s="1"/>
  <c r="W13" i="24" s="1"/>
  <c r="D13" i="32" s="1"/>
  <c r="N55" i="24" a="1"/>
  <c r="N55" i="24" s="1"/>
  <c r="W55" i="24" s="1"/>
  <c r="D55" i="32" s="1"/>
  <c r="N57" i="33" a="1"/>
  <c r="N57" i="33" s="1"/>
  <c r="O57" i="33" s="1"/>
  <c r="N37" i="24" a="1"/>
  <c r="N37" i="24" s="1"/>
  <c r="W37" i="24" s="1"/>
  <c r="D37" i="32" s="1"/>
  <c r="N30" i="33" a="1"/>
  <c r="N30" i="33" s="1"/>
  <c r="O30" i="33" s="1"/>
  <c r="K29" i="33"/>
  <c r="N48" i="33" a="1"/>
  <c r="N48" i="33" s="1"/>
  <c r="N49" i="33" a="1"/>
  <c r="N49" i="33" s="1"/>
  <c r="O49" i="33" s="1"/>
  <c r="N25" i="24" a="1"/>
  <c r="N25" i="24" s="1"/>
  <c r="W25" i="24" s="1"/>
  <c r="D25" i="32" s="1"/>
  <c r="N35" i="33" a="1"/>
  <c r="N35" i="33" s="1"/>
  <c r="O35" i="33" s="1"/>
  <c r="N34" i="33" a="1"/>
  <c r="N34" i="33" s="1"/>
  <c r="O34" i="33" s="1"/>
  <c r="N45" i="33" a="1"/>
  <c r="N45" i="33" s="1"/>
  <c r="O45" i="33" s="1"/>
  <c r="N18" i="24" a="1"/>
  <c r="N18" i="24" s="1"/>
  <c r="W18" i="24" s="1"/>
  <c r="D18" i="32" s="1"/>
  <c r="N43" i="24" a="1"/>
  <c r="N43" i="24" s="1"/>
  <c r="W43" i="24" s="1"/>
  <c r="D43" i="32" s="1"/>
  <c r="N43" i="33" a="1"/>
  <c r="N43" i="33" s="1"/>
  <c r="O43" i="33" s="1"/>
  <c r="F48" i="33" a="1"/>
  <c r="F48" i="33" s="1"/>
  <c r="G48" i="33" s="1"/>
  <c r="K26" i="33"/>
  <c r="F38" i="33" a="1"/>
  <c r="F38" i="33" s="1"/>
  <c r="G38" i="33" s="1"/>
  <c r="F44" i="33" a="1"/>
  <c r="F44" i="33" s="1"/>
  <c r="G44" i="33" s="1"/>
  <c r="F39" i="33" a="1"/>
  <c r="F39" i="33" s="1"/>
  <c r="G39" i="33" s="1"/>
  <c r="F53" i="33" a="1"/>
  <c r="F53" i="33" s="1"/>
  <c r="G53" i="33" s="1"/>
  <c r="F23" i="33" a="1"/>
  <c r="F23" i="33" s="1"/>
  <c r="G23" i="33" s="1"/>
  <c r="F45" i="33" a="1"/>
  <c r="F45" i="33" s="1"/>
  <c r="G45" i="33" s="1"/>
  <c r="F43" i="33" a="1"/>
  <c r="F43" i="33" s="1"/>
  <c r="G43" i="33" s="1"/>
  <c r="G30" i="33"/>
  <c r="F57" i="33" a="1"/>
  <c r="F57" i="33" s="1"/>
  <c r="G57" i="33" s="1"/>
  <c r="F19" i="33" a="1"/>
  <c r="F19" i="33" s="1"/>
  <c r="G19" i="33" s="1"/>
  <c r="F52" i="33" a="1"/>
  <c r="F52" i="33" s="1"/>
  <c r="G52" i="33" s="1"/>
  <c r="F56" i="33" a="1"/>
  <c r="F56" i="33" s="1"/>
  <c r="K57" i="33"/>
  <c r="K43" i="33"/>
  <c r="K15" i="33"/>
  <c r="N33" i="33" a="1"/>
  <c r="N33" i="33" s="1"/>
  <c r="N38" i="33" a="1"/>
  <c r="N38" i="33" s="1"/>
  <c r="O38" i="33" s="1"/>
  <c r="N42" i="24" a="1"/>
  <c r="N42" i="24" s="1"/>
  <c r="W42" i="24" s="1"/>
  <c r="D42" i="32" s="1"/>
  <c r="N44" i="24" a="1"/>
  <c r="N44" i="24" s="1"/>
  <c r="W44" i="24" s="1"/>
  <c r="D44" i="32" s="1"/>
  <c r="N32" i="24" a="1"/>
  <c r="N32" i="24" s="1"/>
  <c r="G15" i="33"/>
  <c r="F14" i="33" a="1"/>
  <c r="F14" i="33" s="1"/>
  <c r="K20" i="33"/>
  <c r="N16" i="33" a="1"/>
  <c r="N16" i="33" s="1"/>
  <c r="O16" i="33" s="1"/>
  <c r="N51" i="24" a="1"/>
  <c r="N51" i="24" s="1"/>
  <c r="N39" i="33" a="1"/>
  <c r="N39" i="33" s="1"/>
  <c r="O39" i="33" s="1"/>
  <c r="N28" i="24" a="1"/>
  <c r="N28" i="24" s="1"/>
  <c r="W28" i="24" s="1"/>
  <c r="D28" i="32" s="1"/>
  <c r="G27" i="33"/>
  <c r="N23" i="33" a="1"/>
  <c r="N23" i="33" s="1"/>
  <c r="O23" i="33" s="1"/>
  <c r="N14" i="24" a="1"/>
  <c r="N14" i="24" s="1"/>
  <c r="W14" i="24" s="1"/>
  <c r="D14" i="32" s="1"/>
  <c r="N56" i="33" a="1"/>
  <c r="N56" i="33" s="1"/>
  <c r="N21" i="24" a="1"/>
  <c r="N21" i="24" s="1"/>
  <c r="W21" i="24" s="1"/>
  <c r="D21" i="32" s="1"/>
  <c r="F42" i="33" a="1"/>
  <c r="F42" i="33" s="1"/>
  <c r="F35" i="33" a="1"/>
  <c r="F35" i="33" s="1"/>
  <c r="G35" i="33" s="1"/>
  <c r="F34" i="33" a="1"/>
  <c r="F34" i="33" s="1"/>
  <c r="G34" i="33" s="1"/>
  <c r="F49" i="33" a="1"/>
  <c r="F49" i="33" s="1"/>
  <c r="G49" i="33" s="1"/>
  <c r="F22" i="33" a="1"/>
  <c r="F22" i="33" s="1"/>
  <c r="G22" i="33" s="1"/>
  <c r="F33" i="33" a="1"/>
  <c r="F33" i="33" s="1"/>
  <c r="F21" i="33" a="1"/>
  <c r="F21" i="33" s="1"/>
  <c r="G21" i="33" s="1"/>
  <c r="F29" i="33" a="1"/>
  <c r="F29" i="33" s="1"/>
  <c r="G29" i="33" s="1"/>
  <c r="F20" i="33" a="1"/>
  <c r="F20" i="33" s="1"/>
  <c r="G20" i="33" s="1"/>
  <c r="F16" i="33" a="1"/>
  <c r="F16" i="33" s="1"/>
  <c r="G16" i="33" s="1"/>
  <c r="N41" i="24" a="1"/>
  <c r="N41" i="24" s="1"/>
  <c r="O27" i="33"/>
  <c r="AD45" i="24"/>
  <c r="K45" i="32" s="1"/>
  <c r="L39" i="24"/>
  <c r="M39" i="24"/>
  <c r="E23" i="24"/>
  <c r="E53" i="24"/>
  <c r="E45" i="24"/>
  <c r="E16" i="24"/>
  <c r="E57" i="24"/>
  <c r="E49" i="24"/>
  <c r="E30" i="24"/>
  <c r="E35" i="24"/>
  <c r="AA11" i="24"/>
  <c r="Q11" i="32"/>
  <c r="AD53" i="24"/>
  <c r="Y11" i="24"/>
  <c r="O11" i="32"/>
  <c r="Z11" i="24"/>
  <c r="P11" i="32"/>
  <c r="K23" i="32"/>
  <c r="AD35" i="24"/>
  <c r="AD30" i="24"/>
  <c r="AD16" i="24"/>
  <c r="AB11" i="24"/>
  <c r="R11" i="32"/>
  <c r="AC11" i="24"/>
  <c r="S11" i="32"/>
  <c r="D11" i="32"/>
  <c r="AD57" i="24"/>
  <c r="AD49" i="24"/>
  <c r="AD39" i="24"/>
  <c r="X11" i="24"/>
  <c r="N11" i="32"/>
  <c r="L5" i="31"/>
  <c r="J50" i="34" l="1"/>
  <c r="J51" i="34"/>
  <c r="J54" i="34"/>
  <c r="J56" i="34"/>
  <c r="J57" i="34"/>
  <c r="J55" i="34"/>
  <c r="J52" i="34"/>
  <c r="J53" i="34"/>
  <c r="G54" i="34"/>
  <c r="D43" i="26"/>
  <c r="H49" i="23"/>
  <c r="D27" i="26" s="1"/>
  <c r="F59" i="23"/>
  <c r="D53" i="26" s="1"/>
  <c r="G56" i="34"/>
  <c r="G55" i="34"/>
  <c r="D46" i="26"/>
  <c r="H52" i="23"/>
  <c r="G53" i="34"/>
  <c r="D48" i="26"/>
  <c r="H54" i="23"/>
  <c r="G57" i="34"/>
  <c r="D45" i="26"/>
  <c r="H51" i="23"/>
  <c r="D49" i="26"/>
  <c r="H55" i="23"/>
  <c r="G50" i="34"/>
  <c r="J49" i="34"/>
  <c r="H59" i="34"/>
  <c r="I51" i="34" s="1"/>
  <c r="E59" i="34"/>
  <c r="F55" i="34" s="1"/>
  <c r="G49" i="34"/>
  <c r="D51" i="26"/>
  <c r="H57" i="23"/>
  <c r="G51" i="34"/>
  <c r="D50" i="26"/>
  <c r="H56" i="23"/>
  <c r="G52" i="34"/>
  <c r="D47" i="26"/>
  <c r="H53" i="23"/>
  <c r="D44" i="26"/>
  <c r="H50" i="23"/>
  <c r="N54" i="33"/>
  <c r="O54" i="33" s="1"/>
  <c r="F40" i="33"/>
  <c r="G40" i="33" s="1"/>
  <c r="E56" i="23"/>
  <c r="D66" i="26" s="1"/>
  <c r="E55" i="23"/>
  <c r="D65" i="26" s="1"/>
  <c r="N49" i="24"/>
  <c r="O48" i="33"/>
  <c r="E54" i="23"/>
  <c r="D64" i="26" s="1"/>
  <c r="E52" i="23"/>
  <c r="D62" i="26" s="1"/>
  <c r="N57" i="24"/>
  <c r="N39" i="24"/>
  <c r="N50" i="33"/>
  <c r="O50" i="33" s="1"/>
  <c r="N46" i="33"/>
  <c r="O46" i="33" s="1"/>
  <c r="N36" i="33"/>
  <c r="O36" i="33" s="1"/>
  <c r="E34" i="23"/>
  <c r="F54" i="33"/>
  <c r="G54" i="33" s="1"/>
  <c r="F50" i="33"/>
  <c r="G50" i="33" s="1"/>
  <c r="E17" i="23"/>
  <c r="O33" i="33"/>
  <c r="F58" i="33"/>
  <c r="G58" i="33" s="1"/>
  <c r="E20" i="23"/>
  <c r="E21" i="23"/>
  <c r="E19" i="23"/>
  <c r="J36" i="33"/>
  <c r="K36" i="33" s="1"/>
  <c r="G56" i="33"/>
  <c r="N16" i="24"/>
  <c r="E39" i="23"/>
  <c r="F24" i="33"/>
  <c r="G24" i="33" s="1"/>
  <c r="N30" i="24"/>
  <c r="J58" i="33"/>
  <c r="K58" i="33" s="1"/>
  <c r="E14" i="23"/>
  <c r="F31" i="33"/>
  <c r="G31" i="33" s="1"/>
  <c r="G26" i="33"/>
  <c r="E15" i="23"/>
  <c r="E50" i="23"/>
  <c r="D60" i="26" s="1"/>
  <c r="N23" i="24"/>
  <c r="E35" i="23"/>
  <c r="N17" i="33"/>
  <c r="O17" i="33" s="1"/>
  <c r="E53" i="23"/>
  <c r="D63" i="26" s="1"/>
  <c r="E16" i="23"/>
  <c r="F36" i="33"/>
  <c r="G36" i="33" s="1"/>
  <c r="G33" i="33"/>
  <c r="O56" i="33"/>
  <c r="N58" i="33"/>
  <c r="O58" i="33" s="1"/>
  <c r="E57" i="23"/>
  <c r="D67" i="26" s="1"/>
  <c r="E51" i="23"/>
  <c r="D61" i="26" s="1"/>
  <c r="E37" i="23"/>
  <c r="K48" i="33"/>
  <c r="J50" i="33"/>
  <c r="K50" i="33" s="1"/>
  <c r="E36" i="23"/>
  <c r="K42" i="33"/>
  <c r="J46" i="33"/>
  <c r="K46" i="33" s="1"/>
  <c r="E31" i="23"/>
  <c r="K14" i="33"/>
  <c r="J17" i="33"/>
  <c r="K17" i="33" s="1"/>
  <c r="E33" i="23"/>
  <c r="E38" i="23"/>
  <c r="J54" i="33"/>
  <c r="K54" i="33" s="1"/>
  <c r="K52" i="33"/>
  <c r="E18" i="23"/>
  <c r="G42" i="33"/>
  <c r="F46" i="33"/>
  <c r="G46" i="33" s="1"/>
  <c r="J31" i="33"/>
  <c r="K31" i="33" s="1"/>
  <c r="N40" i="33"/>
  <c r="O40" i="33" s="1"/>
  <c r="N45" i="24"/>
  <c r="W41" i="24"/>
  <c r="D41" i="32" s="1"/>
  <c r="N31" i="33"/>
  <c r="O31" i="33" s="1"/>
  <c r="N24" i="33"/>
  <c r="O24" i="33" s="1"/>
  <c r="E32" i="23"/>
  <c r="J24" i="33"/>
  <c r="K24" i="33" s="1"/>
  <c r="K19" i="33"/>
  <c r="N53" i="24"/>
  <c r="W51" i="24"/>
  <c r="D51" i="32" s="1"/>
  <c r="E13" i="23"/>
  <c r="F17" i="33"/>
  <c r="G17" i="33" s="1"/>
  <c r="G14" i="33"/>
  <c r="N35" i="24"/>
  <c r="W32" i="24"/>
  <c r="D32" i="32" s="1"/>
  <c r="J40" i="33"/>
  <c r="K40" i="33" s="1"/>
  <c r="E49" i="23"/>
  <c r="D59" i="26" s="1"/>
  <c r="K30" i="32"/>
  <c r="O62" i="32"/>
  <c r="N62" i="32"/>
  <c r="R62" i="32"/>
  <c r="K39" i="32"/>
  <c r="K57" i="32"/>
  <c r="S62" i="32"/>
  <c r="K16" i="32"/>
  <c r="Q62" i="32"/>
  <c r="K49" i="32"/>
  <c r="W11" i="24"/>
  <c r="M11" i="32"/>
  <c r="P63" i="32" s="1"/>
  <c r="K35" i="32"/>
  <c r="P62" i="32"/>
  <c r="K53" i="32"/>
  <c r="R63" i="32" l="1"/>
  <c r="F49" i="34"/>
  <c r="G54" i="23"/>
  <c r="I54" i="34"/>
  <c r="M63" i="32"/>
  <c r="T63" i="32"/>
  <c r="T49" i="32" s="1"/>
  <c r="G55" i="23"/>
  <c r="G51" i="23"/>
  <c r="N63" i="32"/>
  <c r="Q63" i="32"/>
  <c r="O63" i="32"/>
  <c r="S63" i="32"/>
  <c r="I49" i="34"/>
  <c r="G52" i="23"/>
  <c r="F54" i="34"/>
  <c r="F50" i="34"/>
  <c r="G49" i="23"/>
  <c r="F52" i="34"/>
  <c r="F53" i="34"/>
  <c r="G57" i="23"/>
  <c r="I53" i="34"/>
  <c r="F56" i="34"/>
  <c r="G53" i="23"/>
  <c r="F51" i="34"/>
  <c r="I55" i="34"/>
  <c r="I50" i="34"/>
  <c r="G56" i="23"/>
  <c r="G50" i="23"/>
  <c r="F57" i="34"/>
  <c r="J59" i="34"/>
  <c r="I52" i="34"/>
  <c r="I57" i="34"/>
  <c r="I56" i="34"/>
  <c r="G59" i="34"/>
  <c r="K51" i="23"/>
  <c r="M51" i="23" s="1"/>
  <c r="D13" i="26" s="1"/>
  <c r="D29" i="26"/>
  <c r="K54" i="23"/>
  <c r="M54" i="23" s="1"/>
  <c r="D16" i="26" s="1"/>
  <c r="D32" i="26"/>
  <c r="K49" i="23"/>
  <c r="H59" i="23"/>
  <c r="D37" i="26" s="1"/>
  <c r="E37" i="26" s="1"/>
  <c r="K53" i="23"/>
  <c r="M53" i="23" s="1"/>
  <c r="D15" i="26" s="1"/>
  <c r="D31" i="26"/>
  <c r="K56" i="23"/>
  <c r="M56" i="23" s="1"/>
  <c r="D18" i="26" s="1"/>
  <c r="D34" i="26"/>
  <c r="D35" i="26"/>
  <c r="K57" i="23"/>
  <c r="M57" i="23" s="1"/>
  <c r="D19" i="26" s="1"/>
  <c r="K52" i="23"/>
  <c r="M52" i="23" s="1"/>
  <c r="D14" i="26" s="1"/>
  <c r="G14" i="26" s="1"/>
  <c r="D30" i="26"/>
  <c r="K55" i="23"/>
  <c r="M55" i="23" s="1"/>
  <c r="D17" i="26" s="1"/>
  <c r="D33" i="26"/>
  <c r="K50" i="23"/>
  <c r="M50" i="23" s="1"/>
  <c r="D12" i="26" s="1"/>
  <c r="D28" i="26"/>
  <c r="M62" i="32"/>
  <c r="M14" i="23"/>
  <c r="T16" i="32" l="1"/>
  <c r="T57" i="32"/>
  <c r="F59" i="34"/>
  <c r="T39" i="32"/>
  <c r="T53" i="32"/>
  <c r="T23" i="32"/>
  <c r="T45" i="32"/>
  <c r="T30" i="32"/>
  <c r="T35" i="32"/>
  <c r="I59" i="34"/>
  <c r="M49" i="23"/>
  <c r="K59" i="23"/>
  <c r="M52" i="32"/>
  <c r="M48" i="32"/>
  <c r="M43" i="32"/>
  <c r="M38" i="32"/>
  <c r="M33" i="32"/>
  <c r="M28" i="32"/>
  <c r="M19" i="32"/>
  <c r="M14" i="32"/>
  <c r="M55" i="32"/>
  <c r="M41" i="32"/>
  <c r="M26" i="32"/>
  <c r="M56" i="32"/>
  <c r="M51" i="32"/>
  <c r="M47" i="32"/>
  <c r="M42" i="32"/>
  <c r="M37" i="32"/>
  <c r="M32" i="32"/>
  <c r="M27" i="32"/>
  <c r="M22" i="32"/>
  <c r="M18" i="32"/>
  <c r="M13" i="32"/>
  <c r="M21" i="32"/>
  <c r="M44" i="32"/>
  <c r="M34" i="32"/>
  <c r="M29" i="32"/>
  <c r="M25" i="32"/>
  <c r="M20" i="32"/>
  <c r="M15" i="32"/>
  <c r="D19" i="24"/>
  <c r="D22" i="24"/>
  <c r="D21" i="24"/>
  <c r="D20" i="24"/>
  <c r="D18" i="24"/>
  <c r="D42" i="24"/>
  <c r="D43" i="24"/>
  <c r="D44" i="24"/>
  <c r="D41" i="24"/>
  <c r="D14" i="24"/>
  <c r="D15" i="24"/>
  <c r="D13" i="24"/>
  <c r="K18" i="23"/>
  <c r="M18" i="23" s="1"/>
  <c r="J44" i="26"/>
  <c r="K23" i="24" s="1"/>
  <c r="I44" i="26"/>
  <c r="J23" i="24" s="1"/>
  <c r="G44" i="26"/>
  <c r="H23" i="24" s="1"/>
  <c r="E44" i="26"/>
  <c r="F23" i="24" s="1"/>
  <c r="G23" i="24"/>
  <c r="H44" i="26"/>
  <c r="I23" i="24" s="1"/>
  <c r="I12" i="26"/>
  <c r="G12" i="26"/>
  <c r="H12" i="26"/>
  <c r="F12" i="26"/>
  <c r="J12" i="26"/>
  <c r="E12" i="26"/>
  <c r="K13" i="23"/>
  <c r="F28" i="26"/>
  <c r="E28" i="26"/>
  <c r="I28" i="26"/>
  <c r="J28" i="26"/>
  <c r="G28" i="26"/>
  <c r="H28" i="26"/>
  <c r="F23" i="23"/>
  <c r="G16" i="23" s="1"/>
  <c r="F48" i="26"/>
  <c r="G45" i="24" s="1"/>
  <c r="I48" i="26"/>
  <c r="J45" i="24" s="1"/>
  <c r="H48" i="26"/>
  <c r="I45" i="24" s="1"/>
  <c r="G48" i="26"/>
  <c r="H45" i="24" s="1"/>
  <c r="E48" i="26"/>
  <c r="F45" i="24" s="1"/>
  <c r="J48" i="26"/>
  <c r="K45" i="24" s="1"/>
  <c r="H43" i="26"/>
  <c r="I16" i="24" s="1"/>
  <c r="E43" i="26"/>
  <c r="F16" i="24" s="1"/>
  <c r="I43" i="26"/>
  <c r="J16" i="24" s="1"/>
  <c r="G43" i="26"/>
  <c r="H16" i="24" s="1"/>
  <c r="F43" i="26"/>
  <c r="G16" i="24" s="1"/>
  <c r="J43" i="26"/>
  <c r="K16" i="24" s="1"/>
  <c r="D11" i="26" l="1"/>
  <c r="E11" i="26" s="1"/>
  <c r="M59" i="23"/>
  <c r="D21" i="26" s="1"/>
  <c r="J53" i="23"/>
  <c r="J54" i="23"/>
  <c r="J52" i="23"/>
  <c r="J56" i="23"/>
  <c r="J50" i="23"/>
  <c r="J55" i="23"/>
  <c r="J51" i="23"/>
  <c r="G15" i="23"/>
  <c r="J15" i="23" s="1"/>
  <c r="J37" i="23"/>
  <c r="J32" i="23"/>
  <c r="J38" i="23"/>
  <c r="J33" i="23"/>
  <c r="J34" i="23"/>
  <c r="J35" i="23"/>
  <c r="J36" i="23"/>
  <c r="D48" i="24"/>
  <c r="D47" i="24"/>
  <c r="D26" i="24"/>
  <c r="D25" i="24"/>
  <c r="D29" i="24"/>
  <c r="D27" i="24"/>
  <c r="D28" i="24"/>
  <c r="D38" i="24"/>
  <c r="D37" i="24"/>
  <c r="D16" i="24"/>
  <c r="I44" i="24"/>
  <c r="L44" i="24"/>
  <c r="H44" i="24"/>
  <c r="K44" i="24"/>
  <c r="G44" i="24"/>
  <c r="J44" i="24"/>
  <c r="F44" i="24"/>
  <c r="D23" i="24"/>
  <c r="J20" i="24"/>
  <c r="K20" i="24"/>
  <c r="F20" i="24"/>
  <c r="G20" i="24"/>
  <c r="I20" i="24"/>
  <c r="H20" i="24"/>
  <c r="L20" i="24"/>
  <c r="D51" i="24"/>
  <c r="D52" i="24"/>
  <c r="H42" i="24"/>
  <c r="F42" i="24"/>
  <c r="G42" i="24"/>
  <c r="K42" i="24"/>
  <c r="L42" i="24"/>
  <c r="J42" i="24"/>
  <c r="I42" i="24"/>
  <c r="L43" i="24"/>
  <c r="J43" i="24"/>
  <c r="H43" i="24"/>
  <c r="F43" i="24"/>
  <c r="K43" i="24"/>
  <c r="I43" i="24"/>
  <c r="G43" i="24"/>
  <c r="F21" i="24"/>
  <c r="G21" i="24"/>
  <c r="I21" i="24"/>
  <c r="J21" i="24"/>
  <c r="H21" i="24"/>
  <c r="K21" i="24"/>
  <c r="L21" i="24"/>
  <c r="D55" i="24"/>
  <c r="D56" i="24"/>
  <c r="K22" i="24"/>
  <c r="L22" i="24"/>
  <c r="F22" i="24"/>
  <c r="J22" i="24"/>
  <c r="G22" i="24"/>
  <c r="H22" i="24"/>
  <c r="I22" i="24"/>
  <c r="D45" i="24"/>
  <c r="H41" i="24"/>
  <c r="L41" i="24"/>
  <c r="F41" i="24"/>
  <c r="I41" i="24"/>
  <c r="J41" i="24"/>
  <c r="K41" i="24"/>
  <c r="G41" i="24"/>
  <c r="H18" i="24"/>
  <c r="I18" i="24"/>
  <c r="F18" i="24"/>
  <c r="L18" i="24"/>
  <c r="G18" i="24"/>
  <c r="J18" i="24"/>
  <c r="K18" i="24"/>
  <c r="L19" i="24"/>
  <c r="K19" i="24"/>
  <c r="F19" i="24"/>
  <c r="H19" i="24"/>
  <c r="I19" i="24"/>
  <c r="G19" i="24"/>
  <c r="J19" i="24"/>
  <c r="G19" i="23"/>
  <c r="J19" i="23" s="1"/>
  <c r="H23" i="23"/>
  <c r="H49" i="26"/>
  <c r="I49" i="24" s="1"/>
  <c r="J49" i="26"/>
  <c r="K49" i="24" s="1"/>
  <c r="G49" i="26"/>
  <c r="H49" i="24" s="1"/>
  <c r="E49" i="26"/>
  <c r="F49" i="24" s="1"/>
  <c r="F49" i="26"/>
  <c r="G49" i="24" s="1"/>
  <c r="I49" i="26"/>
  <c r="J49" i="24" s="1"/>
  <c r="E51" i="26"/>
  <c r="F57" i="24" s="1"/>
  <c r="F51" i="26"/>
  <c r="G57" i="24" s="1"/>
  <c r="G51" i="26"/>
  <c r="H57" i="24" s="1"/>
  <c r="J51" i="26"/>
  <c r="K57" i="24" s="1"/>
  <c r="H51" i="26"/>
  <c r="I57" i="24" s="1"/>
  <c r="I51" i="26"/>
  <c r="J57" i="24" s="1"/>
  <c r="J16" i="23"/>
  <c r="J45" i="26"/>
  <c r="K30" i="24" s="1"/>
  <c r="I45" i="26"/>
  <c r="J30" i="24" s="1"/>
  <c r="H45" i="26"/>
  <c r="I30" i="24" s="1"/>
  <c r="G45" i="26"/>
  <c r="H30" i="24" s="1"/>
  <c r="E45" i="26"/>
  <c r="F30" i="24" s="1"/>
  <c r="F45" i="26"/>
  <c r="G30" i="24" s="1"/>
  <c r="I50" i="26"/>
  <c r="J53" i="24" s="1"/>
  <c r="F50" i="26"/>
  <c r="G53" i="24" s="1"/>
  <c r="G50" i="26"/>
  <c r="H53" i="24" s="1"/>
  <c r="J50" i="26"/>
  <c r="K53" i="24" s="1"/>
  <c r="E50" i="26"/>
  <c r="F53" i="24" s="1"/>
  <c r="H50" i="26"/>
  <c r="I53" i="24" s="1"/>
  <c r="K17" i="23"/>
  <c r="M17" i="23" s="1"/>
  <c r="G20" i="23"/>
  <c r="J20" i="23" s="1"/>
  <c r="M13" i="23"/>
  <c r="G21" i="23"/>
  <c r="M16" i="23"/>
  <c r="F27" i="26"/>
  <c r="I27" i="26"/>
  <c r="E27" i="26"/>
  <c r="J27" i="26"/>
  <c r="H27" i="26"/>
  <c r="G27" i="26"/>
  <c r="F47" i="26"/>
  <c r="G39" i="24" s="1"/>
  <c r="J47" i="26"/>
  <c r="K39" i="24" s="1"/>
  <c r="H47" i="26"/>
  <c r="I39" i="24" s="1"/>
  <c r="G47" i="26"/>
  <c r="H39" i="24" s="1"/>
  <c r="E47" i="26"/>
  <c r="F39" i="24" s="1"/>
  <c r="I47" i="26"/>
  <c r="J39" i="24" s="1"/>
  <c r="J16" i="26"/>
  <c r="E16" i="26"/>
  <c r="G16" i="26"/>
  <c r="I16" i="26"/>
  <c r="H16" i="26"/>
  <c r="F16" i="26"/>
  <c r="M21" i="23"/>
  <c r="G13" i="23"/>
  <c r="J13" i="23" s="1"/>
  <c r="G14" i="23"/>
  <c r="J14" i="23" s="1"/>
  <c r="G18" i="23"/>
  <c r="J18" i="23" s="1"/>
  <c r="K15" i="23"/>
  <c r="M15" i="23" s="1"/>
  <c r="K19" i="23"/>
  <c r="M19" i="23" s="1"/>
  <c r="F46" i="26"/>
  <c r="G35" i="24" s="1"/>
  <c r="J46" i="26"/>
  <c r="K35" i="24" s="1"/>
  <c r="H46" i="26"/>
  <c r="I35" i="24" s="1"/>
  <c r="G46" i="26"/>
  <c r="H35" i="24" s="1"/>
  <c r="I46" i="26"/>
  <c r="J35" i="24" s="1"/>
  <c r="E46" i="26"/>
  <c r="F35" i="24" s="1"/>
  <c r="K20" i="23"/>
  <c r="M20" i="23" s="1"/>
  <c r="G17" i="23"/>
  <c r="J17" i="23" s="1"/>
  <c r="H32" i="26"/>
  <c r="F32" i="26"/>
  <c r="G32" i="26"/>
  <c r="E32" i="26"/>
  <c r="J32" i="26"/>
  <c r="I32" i="26"/>
  <c r="J49" i="23" l="1"/>
  <c r="J59" i="23" s="1"/>
  <c r="G59" i="23"/>
  <c r="J31" i="23"/>
  <c r="J41" i="23" s="1"/>
  <c r="G41" i="23"/>
  <c r="D57" i="24"/>
  <c r="J55" i="24"/>
  <c r="K55" i="24"/>
  <c r="L55" i="24"/>
  <c r="G55" i="24"/>
  <c r="H55" i="24"/>
  <c r="F55" i="24"/>
  <c r="I55" i="24"/>
  <c r="J28" i="24"/>
  <c r="K28" i="24"/>
  <c r="L28" i="24"/>
  <c r="F28" i="24"/>
  <c r="G28" i="24"/>
  <c r="H28" i="24"/>
  <c r="I28" i="24"/>
  <c r="F56" i="24"/>
  <c r="K56" i="24"/>
  <c r="L56" i="24"/>
  <c r="I56" i="24"/>
  <c r="H56" i="24"/>
  <c r="G56" i="24"/>
  <c r="J56" i="24"/>
  <c r="I38" i="24"/>
  <c r="F38" i="24"/>
  <c r="J38" i="24"/>
  <c r="K38" i="24"/>
  <c r="L38" i="24"/>
  <c r="H38" i="24"/>
  <c r="G38" i="24"/>
  <c r="D30" i="24"/>
  <c r="F25" i="24"/>
  <c r="L25" i="24"/>
  <c r="J25" i="24"/>
  <c r="K25" i="24"/>
  <c r="H25" i="24"/>
  <c r="I25" i="24"/>
  <c r="G25" i="24"/>
  <c r="G48" i="24"/>
  <c r="F48" i="24"/>
  <c r="H48" i="24"/>
  <c r="I48" i="24"/>
  <c r="J48" i="24"/>
  <c r="K48" i="24"/>
  <c r="L48" i="24"/>
  <c r="L52" i="24"/>
  <c r="F52" i="24"/>
  <c r="G52" i="24"/>
  <c r="J52" i="24"/>
  <c r="H52" i="24"/>
  <c r="I52" i="24"/>
  <c r="K52" i="24"/>
  <c r="G27" i="24"/>
  <c r="H27" i="24"/>
  <c r="K27" i="24"/>
  <c r="F27" i="24"/>
  <c r="J27" i="24"/>
  <c r="L27" i="24"/>
  <c r="I27" i="24"/>
  <c r="H26" i="24"/>
  <c r="L26" i="24"/>
  <c r="F26" i="24"/>
  <c r="J26" i="24"/>
  <c r="K26" i="24"/>
  <c r="I26" i="24"/>
  <c r="G26" i="24"/>
  <c r="D53" i="24"/>
  <c r="G51" i="24"/>
  <c r="J51" i="24"/>
  <c r="L51" i="24"/>
  <c r="H51" i="24"/>
  <c r="F51" i="24"/>
  <c r="K51" i="24"/>
  <c r="I51" i="24"/>
  <c r="F37" i="24"/>
  <c r="J37" i="24"/>
  <c r="L37" i="24"/>
  <c r="G37" i="24"/>
  <c r="H37" i="24"/>
  <c r="K37" i="24"/>
  <c r="I37" i="24"/>
  <c r="I29" i="24"/>
  <c r="J29" i="24"/>
  <c r="F29" i="24"/>
  <c r="L29" i="24"/>
  <c r="G29" i="24"/>
  <c r="H29" i="24"/>
  <c r="K29" i="24"/>
  <c r="D49" i="24"/>
  <c r="H47" i="24"/>
  <c r="K47" i="24"/>
  <c r="L47" i="24"/>
  <c r="I47" i="24"/>
  <c r="G47" i="24"/>
  <c r="F47" i="24"/>
  <c r="J47" i="24"/>
  <c r="G37" i="26"/>
  <c r="I37" i="26"/>
  <c r="J37" i="26"/>
  <c r="H37" i="26"/>
  <c r="F37" i="26"/>
  <c r="J33" i="26"/>
  <c r="H33" i="26"/>
  <c r="F33" i="26"/>
  <c r="E33" i="26"/>
  <c r="I33" i="26"/>
  <c r="G33" i="26"/>
  <c r="F13" i="26"/>
  <c r="J13" i="26"/>
  <c r="I13" i="26"/>
  <c r="H13" i="26"/>
  <c r="G13" i="26"/>
  <c r="J14" i="26"/>
  <c r="H14" i="26"/>
  <c r="F14" i="26"/>
  <c r="E14" i="26"/>
  <c r="I14" i="26"/>
  <c r="I29" i="26"/>
  <c r="G29" i="26"/>
  <c r="F29" i="26"/>
  <c r="E29" i="26"/>
  <c r="J29" i="26"/>
  <c r="H29" i="26"/>
  <c r="I53" i="26"/>
  <c r="F53" i="26"/>
  <c r="E53" i="26"/>
  <c r="J53" i="26"/>
  <c r="G53" i="26"/>
  <c r="H53" i="26"/>
  <c r="J35" i="26"/>
  <c r="I35" i="26"/>
  <c r="E35" i="26"/>
  <c r="G35" i="26"/>
  <c r="F35" i="26"/>
  <c r="H35" i="26"/>
  <c r="I30" i="26"/>
  <c r="E30" i="26"/>
  <c r="H30" i="26"/>
  <c r="J30" i="26"/>
  <c r="G30" i="26"/>
  <c r="F30" i="26"/>
  <c r="G23" i="23"/>
  <c r="J23" i="23"/>
  <c r="F18" i="26"/>
  <c r="J18" i="26"/>
  <c r="I18" i="26"/>
  <c r="E18" i="26"/>
  <c r="H18" i="26"/>
  <c r="G18" i="26"/>
  <c r="J34" i="26"/>
  <c r="I34" i="26"/>
  <c r="G34" i="26"/>
  <c r="E34" i="26"/>
  <c r="H34" i="26"/>
  <c r="F34" i="26"/>
  <c r="M23" i="23"/>
  <c r="H31" i="26"/>
  <c r="J31" i="26"/>
  <c r="I31" i="26"/>
  <c r="G31" i="26"/>
  <c r="E31" i="26"/>
  <c r="F31" i="26"/>
  <c r="G19" i="26"/>
  <c r="H19" i="26"/>
  <c r="I19" i="26"/>
  <c r="J19" i="26"/>
  <c r="E19" i="26"/>
  <c r="F19" i="26"/>
  <c r="F17" i="26"/>
  <c r="H17" i="26"/>
  <c r="G17" i="26"/>
  <c r="E17" i="26"/>
  <c r="I17" i="26"/>
  <c r="J17" i="26"/>
  <c r="K23" i="23"/>
  <c r="G15" i="26"/>
  <c r="H15" i="26"/>
  <c r="J15" i="26"/>
  <c r="I15" i="26"/>
  <c r="E15" i="26"/>
  <c r="F15" i="26"/>
  <c r="D32" i="24" l="1"/>
  <c r="D34" i="24"/>
  <c r="D33" i="24"/>
  <c r="F21" i="26"/>
  <c r="J21" i="26"/>
  <c r="H21" i="26"/>
  <c r="E21" i="26"/>
  <c r="I21" i="26"/>
  <c r="G21" i="26"/>
  <c r="G11" i="26"/>
  <c r="I11" i="26"/>
  <c r="J11" i="26"/>
  <c r="H11" i="26"/>
  <c r="F11" i="26"/>
  <c r="D35" i="24" l="1"/>
  <c r="I32" i="24"/>
  <c r="L32" i="24"/>
  <c r="F32" i="24"/>
  <c r="G32" i="24"/>
  <c r="J32" i="24"/>
  <c r="H32" i="24"/>
  <c r="K32" i="24"/>
  <c r="F34" i="24"/>
  <c r="J34" i="24"/>
  <c r="L34" i="24"/>
  <c r="K34" i="24"/>
  <c r="H34" i="24"/>
  <c r="I34" i="24"/>
  <c r="G34" i="24"/>
  <c r="J33" i="24"/>
  <c r="K33" i="24"/>
  <c r="L33" i="24"/>
  <c r="F33" i="24"/>
  <c r="G33" i="24"/>
  <c r="H33" i="24"/>
  <c r="I33" i="24"/>
  <c r="G59" i="26"/>
  <c r="I64" i="26"/>
  <c r="I60" i="26"/>
  <c r="E63" i="26"/>
  <c r="I67" i="26"/>
  <c r="E65" i="26"/>
  <c r="I61" i="26"/>
  <c r="G63" i="26" l="1"/>
  <c r="Q39" i="24" s="1"/>
  <c r="Z39" i="24" s="1"/>
  <c r="G39" i="32" s="1"/>
  <c r="P39" i="32" s="1"/>
  <c r="S30" i="24"/>
  <c r="AB30" i="24" s="1"/>
  <c r="I30" i="32" s="1"/>
  <c r="R30" i="32" s="1"/>
  <c r="S57" i="24"/>
  <c r="AB57" i="24" s="1"/>
  <c r="I57" i="32" s="1"/>
  <c r="R57" i="32" s="1"/>
  <c r="S45" i="24"/>
  <c r="AB45" i="24" s="1"/>
  <c r="I45" i="32" s="1"/>
  <c r="R45" i="32" s="1"/>
  <c r="Q16" i="24"/>
  <c r="Z16" i="24" s="1"/>
  <c r="G16" i="32" s="1"/>
  <c r="P16" i="32" s="1"/>
  <c r="O39" i="24"/>
  <c r="X39" i="24" s="1"/>
  <c r="E39" i="32" s="1"/>
  <c r="N39" i="32" s="1"/>
  <c r="O49" i="24"/>
  <c r="X49" i="24" s="1"/>
  <c r="E49" i="32" s="1"/>
  <c r="N49" i="32" s="1"/>
  <c r="S23" i="24"/>
  <c r="AB23" i="24" s="1"/>
  <c r="I23" i="32" s="1"/>
  <c r="R23" i="32" s="1"/>
  <c r="I65" i="26"/>
  <c r="F64" i="26"/>
  <c r="G64" i="26"/>
  <c r="E64" i="26"/>
  <c r="J60" i="26"/>
  <c r="E67" i="26"/>
  <c r="H67" i="26"/>
  <c r="G62" i="26"/>
  <c r="F62" i="26"/>
  <c r="H64" i="26"/>
  <c r="W35" i="24"/>
  <c r="D35" i="32" s="1"/>
  <c r="M35" i="32" s="1"/>
  <c r="M33" i="24"/>
  <c r="U33" i="24" s="1"/>
  <c r="AD33" i="24" s="1"/>
  <c r="K33" i="32" s="1"/>
  <c r="T33" i="32" s="1"/>
  <c r="M32" i="24"/>
  <c r="M34" i="24"/>
  <c r="U34" i="24" s="1"/>
  <c r="AD34" i="24" s="1"/>
  <c r="K34" i="32" s="1"/>
  <c r="T34" i="32" s="1"/>
  <c r="G66" i="26"/>
  <c r="I66" i="26"/>
  <c r="J61" i="26"/>
  <c r="G67" i="26"/>
  <c r="F67" i="26"/>
  <c r="H66" i="26"/>
  <c r="F63" i="26"/>
  <c r="I63" i="26"/>
  <c r="J63" i="26"/>
  <c r="H62" i="26"/>
  <c r="E62" i="26"/>
  <c r="J62" i="26"/>
  <c r="I62" i="26"/>
  <c r="F60" i="26"/>
  <c r="G60" i="26"/>
  <c r="H60" i="26"/>
  <c r="E60" i="26"/>
  <c r="F61" i="26"/>
  <c r="M43" i="24"/>
  <c r="U43" i="24" s="1"/>
  <c r="AD43" i="24" s="1"/>
  <c r="K43" i="32" s="1"/>
  <c r="T43" i="32" s="1"/>
  <c r="M41" i="24"/>
  <c r="W45" i="24"/>
  <c r="D45" i="32" s="1"/>
  <c r="M45" i="32" s="1"/>
  <c r="M42" i="24"/>
  <c r="M44" i="24"/>
  <c r="H65" i="26"/>
  <c r="G65" i="26"/>
  <c r="J65" i="26"/>
  <c r="F65" i="26"/>
  <c r="F66" i="26"/>
  <c r="G61" i="26"/>
  <c r="E61" i="26"/>
  <c r="E66" i="26"/>
  <c r="J67" i="26"/>
  <c r="H61" i="26"/>
  <c r="H63" i="26"/>
  <c r="E59" i="26"/>
  <c r="H59" i="26"/>
  <c r="F59" i="26"/>
  <c r="I59" i="26"/>
  <c r="J59" i="26"/>
  <c r="J66" i="26"/>
  <c r="J64" i="26"/>
  <c r="Q23" i="24" l="1"/>
  <c r="Z23" i="24" s="1"/>
  <c r="G23" i="32" s="1"/>
  <c r="P23" i="32" s="1"/>
  <c r="P57" i="24"/>
  <c r="Y57" i="24" s="1"/>
  <c r="F57" i="32" s="1"/>
  <c r="O57" i="32" s="1"/>
  <c r="R57" i="24"/>
  <c r="AA57" i="24" s="1"/>
  <c r="H57" i="32" s="1"/>
  <c r="Q57" i="32" s="1"/>
  <c r="S16" i="24"/>
  <c r="AB16" i="24" s="1"/>
  <c r="I16" i="32" s="1"/>
  <c r="R16" i="32" s="1"/>
  <c r="R39" i="24"/>
  <c r="AA39" i="24" s="1"/>
  <c r="H39" i="32" s="1"/>
  <c r="Q39" i="32" s="1"/>
  <c r="O30" i="24"/>
  <c r="X30" i="24" s="1"/>
  <c r="E30" i="32" s="1"/>
  <c r="N30" i="32" s="1"/>
  <c r="P49" i="24"/>
  <c r="Y49" i="24" s="1"/>
  <c r="F49" i="32" s="1"/>
  <c r="O49" i="32" s="1"/>
  <c r="R23" i="24"/>
  <c r="AA23" i="24" s="1"/>
  <c r="H23" i="32" s="1"/>
  <c r="Q23" i="32" s="1"/>
  <c r="T35" i="24"/>
  <c r="T32" i="24" s="1"/>
  <c r="AC32" i="24" s="1"/>
  <c r="J32" i="32" s="1"/>
  <c r="S32" i="32" s="1"/>
  <c r="R53" i="24"/>
  <c r="AA53" i="24" s="1"/>
  <c r="H53" i="32" s="1"/>
  <c r="Q53" i="32" s="1"/>
  <c r="T30" i="24"/>
  <c r="AC30" i="24" s="1"/>
  <c r="J30" i="32" s="1"/>
  <c r="S30" i="32" s="1"/>
  <c r="Q35" i="24"/>
  <c r="Q34" i="24" s="1"/>
  <c r="Z34" i="24" s="1"/>
  <c r="G34" i="32" s="1"/>
  <c r="P34" i="32" s="1"/>
  <c r="O45" i="24"/>
  <c r="X45" i="24" s="1"/>
  <c r="E45" i="32" s="1"/>
  <c r="N45" i="32" s="1"/>
  <c r="P16" i="24"/>
  <c r="Y16" i="24" s="1"/>
  <c r="F16" i="32" s="1"/>
  <c r="O16" i="32" s="1"/>
  <c r="T39" i="24"/>
  <c r="AC39" i="24" s="1"/>
  <c r="J39" i="32" s="1"/>
  <c r="S39" i="32" s="1"/>
  <c r="S53" i="24"/>
  <c r="AB53" i="24" s="1"/>
  <c r="I53" i="32" s="1"/>
  <c r="R53" i="32" s="1"/>
  <c r="R16" i="24"/>
  <c r="AA16" i="24" s="1"/>
  <c r="H16" i="32" s="1"/>
  <c r="Q16" i="32" s="1"/>
  <c r="T57" i="24"/>
  <c r="AC57" i="24" s="1"/>
  <c r="J57" i="32" s="1"/>
  <c r="S57" i="32" s="1"/>
  <c r="Q30" i="24"/>
  <c r="Z30" i="24" s="1"/>
  <c r="G30" i="32" s="1"/>
  <c r="P30" i="32" s="1"/>
  <c r="Q49" i="24"/>
  <c r="Z49" i="24" s="1"/>
  <c r="G49" i="32" s="1"/>
  <c r="P49" i="32" s="1"/>
  <c r="P30" i="24"/>
  <c r="Y30" i="24" s="1"/>
  <c r="F30" i="32" s="1"/>
  <c r="O30" i="32" s="1"/>
  <c r="P23" i="24"/>
  <c r="Y23" i="24" s="1"/>
  <c r="F23" i="32" s="1"/>
  <c r="O23" i="32" s="1"/>
  <c r="R35" i="24"/>
  <c r="R32" i="24" s="1"/>
  <c r="AA32" i="24" s="1"/>
  <c r="H32" i="32" s="1"/>
  <c r="Q32" i="32" s="1"/>
  <c r="S39" i="24"/>
  <c r="AB39" i="24" s="1"/>
  <c r="I39" i="32" s="1"/>
  <c r="R39" i="32" s="1"/>
  <c r="Q57" i="24"/>
  <c r="Z57" i="24" s="1"/>
  <c r="G57" i="32" s="1"/>
  <c r="P57" i="32" s="1"/>
  <c r="Q53" i="24"/>
  <c r="Z53" i="24" s="1"/>
  <c r="G53" i="32" s="1"/>
  <c r="P53" i="32" s="1"/>
  <c r="R45" i="24"/>
  <c r="AA45" i="24" s="1"/>
  <c r="H45" i="32" s="1"/>
  <c r="Q45" i="32" s="1"/>
  <c r="O57" i="24"/>
  <c r="X57" i="24" s="1"/>
  <c r="E57" i="32" s="1"/>
  <c r="N57" i="32" s="1"/>
  <c r="P45" i="24"/>
  <c r="Y45" i="24" s="1"/>
  <c r="F45" i="32" s="1"/>
  <c r="O45" i="32" s="1"/>
  <c r="T53" i="24"/>
  <c r="AC53" i="24" s="1"/>
  <c r="J53" i="32" s="1"/>
  <c r="S53" i="32" s="1"/>
  <c r="R30" i="24"/>
  <c r="AA30" i="24" s="1"/>
  <c r="H30" i="32" s="1"/>
  <c r="Q30" i="32" s="1"/>
  <c r="T49" i="24"/>
  <c r="AC49" i="24" s="1"/>
  <c r="J49" i="32" s="1"/>
  <c r="S49" i="32" s="1"/>
  <c r="O35" i="24"/>
  <c r="O34" i="24" s="1"/>
  <c r="X34" i="24" s="1"/>
  <c r="E34" i="32" s="1"/>
  <c r="N34" i="32" s="1"/>
  <c r="Q45" i="24"/>
  <c r="Z45" i="24" s="1"/>
  <c r="G45" i="32" s="1"/>
  <c r="P45" i="32" s="1"/>
  <c r="T45" i="24"/>
  <c r="AC45" i="24" s="1"/>
  <c r="J45" i="32" s="1"/>
  <c r="S45" i="32" s="1"/>
  <c r="T16" i="24"/>
  <c r="AC16" i="24" s="1"/>
  <c r="J16" i="32" s="1"/>
  <c r="S16" i="32" s="1"/>
  <c r="O16" i="24"/>
  <c r="O53" i="24"/>
  <c r="X53" i="24" s="1"/>
  <c r="E53" i="32" s="1"/>
  <c r="N53" i="32" s="1"/>
  <c r="P53" i="24"/>
  <c r="Y53" i="24" s="1"/>
  <c r="F53" i="32" s="1"/>
  <c r="O53" i="32" s="1"/>
  <c r="R49" i="24"/>
  <c r="AA49" i="24" s="1"/>
  <c r="H49" i="32" s="1"/>
  <c r="Q49" i="32" s="1"/>
  <c r="O23" i="24"/>
  <c r="X23" i="24" s="1"/>
  <c r="E23" i="32" s="1"/>
  <c r="N23" i="32" s="1"/>
  <c r="S35" i="24"/>
  <c r="S32" i="24" s="1"/>
  <c r="AB32" i="24" s="1"/>
  <c r="I32" i="32" s="1"/>
  <c r="R32" i="32" s="1"/>
  <c r="P39" i="24"/>
  <c r="Y39" i="24" s="1"/>
  <c r="F39" i="32" s="1"/>
  <c r="O39" i="32" s="1"/>
  <c r="P35" i="24"/>
  <c r="Y35" i="24" s="1"/>
  <c r="F35" i="32" s="1"/>
  <c r="O35" i="32" s="1"/>
  <c r="T23" i="24"/>
  <c r="AC23" i="24" s="1"/>
  <c r="J23" i="32" s="1"/>
  <c r="S23" i="32" s="1"/>
  <c r="S49" i="24"/>
  <c r="AB49" i="24" s="1"/>
  <c r="I49" i="32" s="1"/>
  <c r="R49" i="32" s="1"/>
  <c r="M45" i="24"/>
  <c r="U41" i="24"/>
  <c r="AD41" i="24" s="1"/>
  <c r="K41" i="32" s="1"/>
  <c r="T41" i="32" s="1"/>
  <c r="W23" i="24"/>
  <c r="D23" i="32" s="1"/>
  <c r="M23" i="32" s="1"/>
  <c r="M18" i="24"/>
  <c r="M22" i="24"/>
  <c r="M20" i="24"/>
  <c r="M19" i="24"/>
  <c r="M21" i="24"/>
  <c r="S43" i="24"/>
  <c r="AB43" i="24" s="1"/>
  <c r="I43" i="32" s="1"/>
  <c r="R43" i="32" s="1"/>
  <c r="M35" i="24"/>
  <c r="U32" i="24"/>
  <c r="AD32" i="24" s="1"/>
  <c r="K32" i="32" s="1"/>
  <c r="T32" i="32" s="1"/>
  <c r="M14" i="24"/>
  <c r="M13" i="24"/>
  <c r="W16" i="24"/>
  <c r="D16" i="32" s="1"/>
  <c r="M16" i="32" s="1"/>
  <c r="M15" i="24"/>
  <c r="U42" i="24"/>
  <c r="AD42" i="24" s="1"/>
  <c r="K42" i="32" s="1"/>
  <c r="T42" i="32" s="1"/>
  <c r="M55" i="24"/>
  <c r="W57" i="24"/>
  <c r="D57" i="32" s="1"/>
  <c r="M57" i="32" s="1"/>
  <c r="M56" i="24"/>
  <c r="M48" i="24"/>
  <c r="M47" i="24"/>
  <c r="W49" i="24"/>
  <c r="D49" i="32" s="1"/>
  <c r="M49" i="32" s="1"/>
  <c r="W53" i="24"/>
  <c r="D53" i="32" s="1"/>
  <c r="M53" i="32" s="1"/>
  <c r="M51" i="24"/>
  <c r="M52" i="24"/>
  <c r="U52" i="24" s="1"/>
  <c r="AD52" i="24" s="1"/>
  <c r="K52" i="32" s="1"/>
  <c r="T52" i="32" s="1"/>
  <c r="W30" i="24"/>
  <c r="D30" i="32" s="1"/>
  <c r="M30" i="32" s="1"/>
  <c r="M26" i="24"/>
  <c r="M28" i="24"/>
  <c r="M29" i="24"/>
  <c r="M27" i="24"/>
  <c r="M25" i="24"/>
  <c r="T44" i="24"/>
  <c r="AC44" i="24" s="1"/>
  <c r="J44" i="32" s="1"/>
  <c r="S44" i="32" s="1"/>
  <c r="U44" i="24"/>
  <c r="AD44" i="24" s="1"/>
  <c r="K44" i="32" s="1"/>
  <c r="T44" i="32" s="1"/>
  <c r="R44" i="24"/>
  <c r="AA44" i="24" s="1"/>
  <c r="H44" i="32" s="1"/>
  <c r="Q44" i="32" s="1"/>
  <c r="Q44" i="24"/>
  <c r="Z44" i="24" s="1"/>
  <c r="G44" i="32" s="1"/>
  <c r="P44" i="32" s="1"/>
  <c r="S44" i="24"/>
  <c r="AB44" i="24" s="1"/>
  <c r="I44" i="32" s="1"/>
  <c r="R44" i="32" s="1"/>
  <c r="P44" i="24"/>
  <c r="Y44" i="24" s="1"/>
  <c r="F44" i="32" s="1"/>
  <c r="O44" i="32" s="1"/>
  <c r="O44" i="24"/>
  <c r="X44" i="24" s="1"/>
  <c r="E44" i="32" s="1"/>
  <c r="N44" i="32" s="1"/>
  <c r="S42" i="24"/>
  <c r="AB42" i="24" s="1"/>
  <c r="I42" i="32" s="1"/>
  <c r="R42" i="32" s="1"/>
  <c r="S41" i="24"/>
  <c r="AB41" i="24" s="1"/>
  <c r="I41" i="32" s="1"/>
  <c r="R41" i="32" s="1"/>
  <c r="M38" i="24"/>
  <c r="W39" i="24"/>
  <c r="D39" i="32" s="1"/>
  <c r="M39" i="32" s="1"/>
  <c r="M37" i="24"/>
  <c r="T33" i="24" l="1"/>
  <c r="AC33" i="24" s="1"/>
  <c r="J33" i="32" s="1"/>
  <c r="S33" i="32" s="1"/>
  <c r="O32" i="24"/>
  <c r="X32" i="24" s="1"/>
  <c r="E32" i="32" s="1"/>
  <c r="N32" i="32" s="1"/>
  <c r="O42" i="24"/>
  <c r="X42" i="24" s="1"/>
  <c r="E42" i="32" s="1"/>
  <c r="N42" i="32" s="1"/>
  <c r="P41" i="24"/>
  <c r="Y41" i="24" s="1"/>
  <c r="F41" i="32" s="1"/>
  <c r="O41" i="32" s="1"/>
  <c r="AB35" i="24"/>
  <c r="I35" i="32" s="1"/>
  <c r="R35" i="32" s="1"/>
  <c r="X35" i="24"/>
  <c r="E35" i="32" s="1"/>
  <c r="N35" i="32" s="1"/>
  <c r="P42" i="24"/>
  <c r="Y42" i="24" s="1"/>
  <c r="F42" i="32" s="1"/>
  <c r="O42" i="32" s="1"/>
  <c r="O20" i="24"/>
  <c r="X20" i="24" s="1"/>
  <c r="E20" i="32" s="1"/>
  <c r="N20" i="32" s="1"/>
  <c r="R14" i="24"/>
  <c r="AA14" i="24" s="1"/>
  <c r="H14" i="32" s="1"/>
  <c r="Q14" i="32" s="1"/>
  <c r="T34" i="24"/>
  <c r="AC34" i="24" s="1"/>
  <c r="J34" i="32" s="1"/>
  <c r="S34" i="32" s="1"/>
  <c r="P43" i="24"/>
  <c r="Y43" i="24" s="1"/>
  <c r="F43" i="32" s="1"/>
  <c r="O43" i="32" s="1"/>
  <c r="R37" i="24"/>
  <c r="AA37" i="24" s="1"/>
  <c r="H37" i="32" s="1"/>
  <c r="Q37" i="32" s="1"/>
  <c r="O33" i="24"/>
  <c r="X33" i="24" s="1"/>
  <c r="E33" i="32" s="1"/>
  <c r="N33" i="32" s="1"/>
  <c r="AC35" i="24"/>
  <c r="J35" i="32" s="1"/>
  <c r="S35" i="32" s="1"/>
  <c r="O41" i="24"/>
  <c r="X41" i="24" s="1"/>
  <c r="E41" i="32" s="1"/>
  <c r="N41" i="32" s="1"/>
  <c r="P26" i="24"/>
  <c r="Y26" i="24" s="1"/>
  <c r="F26" i="32" s="1"/>
  <c r="O26" i="32" s="1"/>
  <c r="O43" i="24"/>
  <c r="X43" i="24" s="1"/>
  <c r="E43" i="32" s="1"/>
  <c r="N43" i="32" s="1"/>
  <c r="T51" i="24"/>
  <c r="AC51" i="24" s="1"/>
  <c r="J51" i="32" s="1"/>
  <c r="S51" i="32" s="1"/>
  <c r="T55" i="24"/>
  <c r="AC55" i="24" s="1"/>
  <c r="J55" i="32" s="1"/>
  <c r="S55" i="32" s="1"/>
  <c r="S33" i="24"/>
  <c r="AB33" i="24" s="1"/>
  <c r="I33" i="32" s="1"/>
  <c r="R33" i="32" s="1"/>
  <c r="T56" i="24"/>
  <c r="AC56" i="24" s="1"/>
  <c r="J56" i="32" s="1"/>
  <c r="S56" i="32" s="1"/>
  <c r="S34" i="24"/>
  <c r="AB34" i="24" s="1"/>
  <c r="I34" i="32" s="1"/>
  <c r="R34" i="32" s="1"/>
  <c r="Q43" i="24"/>
  <c r="Z43" i="24" s="1"/>
  <c r="G43" i="32" s="1"/>
  <c r="P43" i="32" s="1"/>
  <c r="O27" i="24"/>
  <c r="X27" i="24" s="1"/>
  <c r="E27" i="32" s="1"/>
  <c r="N27" i="32" s="1"/>
  <c r="P20" i="24"/>
  <c r="Y20" i="24" s="1"/>
  <c r="F20" i="32" s="1"/>
  <c r="O20" i="32" s="1"/>
  <c r="Q41" i="24"/>
  <c r="Z41" i="24" s="1"/>
  <c r="G41" i="32" s="1"/>
  <c r="P41" i="32" s="1"/>
  <c r="P32" i="24"/>
  <c r="Y32" i="24" s="1"/>
  <c r="F32" i="32" s="1"/>
  <c r="O32" i="32" s="1"/>
  <c r="S13" i="24"/>
  <c r="AB13" i="24" s="1"/>
  <c r="I13" i="32" s="1"/>
  <c r="R13" i="32" s="1"/>
  <c r="R33" i="24"/>
  <c r="AA33" i="24" s="1"/>
  <c r="H33" i="32" s="1"/>
  <c r="Q33" i="32" s="1"/>
  <c r="T42" i="24"/>
  <c r="AC42" i="24" s="1"/>
  <c r="J42" i="32" s="1"/>
  <c r="S42" i="32" s="1"/>
  <c r="Q32" i="24"/>
  <c r="Z32" i="24" s="1"/>
  <c r="G32" i="32" s="1"/>
  <c r="P32" i="32" s="1"/>
  <c r="Q55" i="24"/>
  <c r="Z55" i="24" s="1"/>
  <c r="G55" i="32" s="1"/>
  <c r="P55" i="32" s="1"/>
  <c r="T47" i="24"/>
  <c r="AC47" i="24" s="1"/>
  <c r="J47" i="32" s="1"/>
  <c r="S47" i="32" s="1"/>
  <c r="P34" i="24"/>
  <c r="Y34" i="24" s="1"/>
  <c r="F34" i="32" s="1"/>
  <c r="O34" i="32" s="1"/>
  <c r="R21" i="24"/>
  <c r="AA21" i="24" s="1"/>
  <c r="H21" i="32" s="1"/>
  <c r="Q21" i="32" s="1"/>
  <c r="R18" i="24"/>
  <c r="AA18" i="24" s="1"/>
  <c r="H18" i="32" s="1"/>
  <c r="Q18" i="32" s="1"/>
  <c r="T52" i="24"/>
  <c r="AC52" i="24" s="1"/>
  <c r="J52" i="32" s="1"/>
  <c r="S52" i="32" s="1"/>
  <c r="T41" i="24"/>
  <c r="AC41" i="24" s="1"/>
  <c r="J41" i="32" s="1"/>
  <c r="S41" i="32" s="1"/>
  <c r="R20" i="24"/>
  <c r="AA20" i="24" s="1"/>
  <c r="H20" i="32" s="1"/>
  <c r="Q20" i="32" s="1"/>
  <c r="R28" i="24"/>
  <c r="AA28" i="24" s="1"/>
  <c r="H28" i="32" s="1"/>
  <c r="Q28" i="32" s="1"/>
  <c r="T43" i="24"/>
  <c r="AC43" i="24" s="1"/>
  <c r="J43" i="32" s="1"/>
  <c r="S43" i="32" s="1"/>
  <c r="P48" i="24"/>
  <c r="Y48" i="24" s="1"/>
  <c r="F48" i="32" s="1"/>
  <c r="O48" i="32" s="1"/>
  <c r="AA35" i="24"/>
  <c r="H35" i="32" s="1"/>
  <c r="Q35" i="32" s="1"/>
  <c r="P38" i="24"/>
  <c r="Y38" i="24" s="1"/>
  <c r="F38" i="32" s="1"/>
  <c r="O38" i="32" s="1"/>
  <c r="R25" i="24"/>
  <c r="AA25" i="24" s="1"/>
  <c r="H25" i="32" s="1"/>
  <c r="Q25" i="32" s="1"/>
  <c r="R42" i="24"/>
  <c r="AA42" i="24" s="1"/>
  <c r="H42" i="32" s="1"/>
  <c r="Q42" i="32" s="1"/>
  <c r="R19" i="24"/>
  <c r="AA19" i="24" s="1"/>
  <c r="H19" i="32" s="1"/>
  <c r="Q19" i="32" s="1"/>
  <c r="P33" i="24"/>
  <c r="Y33" i="24" s="1"/>
  <c r="F33" i="32" s="1"/>
  <c r="O33" i="32" s="1"/>
  <c r="R34" i="24"/>
  <c r="AA34" i="24" s="1"/>
  <c r="H34" i="32" s="1"/>
  <c r="Q34" i="32" s="1"/>
  <c r="T15" i="24"/>
  <c r="AC15" i="24" s="1"/>
  <c r="J15" i="32" s="1"/>
  <c r="S15" i="32" s="1"/>
  <c r="Q33" i="24"/>
  <c r="Z33" i="24" s="1"/>
  <c r="G33" i="32" s="1"/>
  <c r="P33" i="32" s="1"/>
  <c r="R43" i="24"/>
  <c r="AA43" i="24" s="1"/>
  <c r="H43" i="32" s="1"/>
  <c r="Q43" i="32" s="1"/>
  <c r="R22" i="24"/>
  <c r="AA22" i="24" s="1"/>
  <c r="H22" i="32" s="1"/>
  <c r="Q22" i="32" s="1"/>
  <c r="Z35" i="24"/>
  <c r="G35" i="32" s="1"/>
  <c r="P35" i="32" s="1"/>
  <c r="R41" i="24"/>
  <c r="AA41" i="24" s="1"/>
  <c r="H41" i="32" s="1"/>
  <c r="Q41" i="32" s="1"/>
  <c r="Q42" i="24"/>
  <c r="Z42" i="24" s="1"/>
  <c r="G42" i="32" s="1"/>
  <c r="P42" i="32" s="1"/>
  <c r="P22" i="24"/>
  <c r="Y22" i="24" s="1"/>
  <c r="F22" i="32" s="1"/>
  <c r="O22" i="32" s="1"/>
  <c r="Q51" i="24"/>
  <c r="Z51" i="24" s="1"/>
  <c r="G51" i="32" s="1"/>
  <c r="P51" i="32" s="1"/>
  <c r="O22" i="24"/>
  <c r="X22" i="24" s="1"/>
  <c r="E22" i="32" s="1"/>
  <c r="N22" i="32" s="1"/>
  <c r="Q22" i="24"/>
  <c r="Z22" i="24" s="1"/>
  <c r="G22" i="32" s="1"/>
  <c r="P22" i="32" s="1"/>
  <c r="Q52" i="24"/>
  <c r="Z52" i="24" s="1"/>
  <c r="G52" i="32" s="1"/>
  <c r="P52" i="32" s="1"/>
  <c r="P13" i="24"/>
  <c r="Y13" i="24" s="1"/>
  <c r="F13" i="32" s="1"/>
  <c r="O13" i="32" s="1"/>
  <c r="P55" i="24"/>
  <c r="Y55" i="24" s="1"/>
  <c r="F55" i="32" s="1"/>
  <c r="O55" i="32" s="1"/>
  <c r="P27" i="24"/>
  <c r="Y27" i="24" s="1"/>
  <c r="F27" i="32" s="1"/>
  <c r="O27" i="32" s="1"/>
  <c r="T27" i="24"/>
  <c r="AC27" i="24" s="1"/>
  <c r="J27" i="32" s="1"/>
  <c r="S27" i="32" s="1"/>
  <c r="Q21" i="24"/>
  <c r="Z21" i="24" s="1"/>
  <c r="G21" i="32" s="1"/>
  <c r="P21" i="32" s="1"/>
  <c r="P14" i="24"/>
  <c r="Y14" i="24" s="1"/>
  <c r="F14" i="32" s="1"/>
  <c r="O14" i="32" s="1"/>
  <c r="T13" i="24"/>
  <c r="AC13" i="24" s="1"/>
  <c r="J13" i="32" s="1"/>
  <c r="S13" i="32" s="1"/>
  <c r="T14" i="24"/>
  <c r="AC14" i="24" s="1"/>
  <c r="J14" i="32" s="1"/>
  <c r="S14" i="32" s="1"/>
  <c r="R13" i="24"/>
  <c r="AA13" i="24" s="1"/>
  <c r="H13" i="32" s="1"/>
  <c r="Q13" i="32" s="1"/>
  <c r="T38" i="24"/>
  <c r="AC38" i="24" s="1"/>
  <c r="J38" i="32" s="1"/>
  <c r="S38" i="32" s="1"/>
  <c r="O26" i="24"/>
  <c r="X26" i="24" s="1"/>
  <c r="E26" i="32" s="1"/>
  <c r="N26" i="32" s="1"/>
  <c r="R26" i="24"/>
  <c r="AA26" i="24" s="1"/>
  <c r="H26" i="32" s="1"/>
  <c r="Q26" i="32" s="1"/>
  <c r="P19" i="24"/>
  <c r="Y19" i="24" s="1"/>
  <c r="F19" i="32" s="1"/>
  <c r="O19" i="32" s="1"/>
  <c r="T26" i="24"/>
  <c r="AC26" i="24" s="1"/>
  <c r="J26" i="32" s="1"/>
  <c r="S26" i="32" s="1"/>
  <c r="Q20" i="24"/>
  <c r="Z20" i="24" s="1"/>
  <c r="G20" i="32" s="1"/>
  <c r="P20" i="32" s="1"/>
  <c r="Q25" i="24"/>
  <c r="Z25" i="24" s="1"/>
  <c r="G25" i="32" s="1"/>
  <c r="P25" i="32" s="1"/>
  <c r="O25" i="24"/>
  <c r="X25" i="24" s="1"/>
  <c r="E25" i="32" s="1"/>
  <c r="N25" i="32" s="1"/>
  <c r="T28" i="24"/>
  <c r="AC28" i="24" s="1"/>
  <c r="J28" i="32" s="1"/>
  <c r="S28" i="32" s="1"/>
  <c r="S38" i="24"/>
  <c r="AB38" i="24" s="1"/>
  <c r="I38" i="32" s="1"/>
  <c r="R38" i="32" s="1"/>
  <c r="U29" i="24"/>
  <c r="AD29" i="24" s="1"/>
  <c r="K29" i="32" s="1"/>
  <c r="T29" i="32" s="1"/>
  <c r="S29" i="24"/>
  <c r="AB29" i="24" s="1"/>
  <c r="I29" i="32" s="1"/>
  <c r="R29" i="32" s="1"/>
  <c r="M49" i="24"/>
  <c r="U47" i="24"/>
  <c r="AD47" i="24" s="1"/>
  <c r="K47" i="32" s="1"/>
  <c r="T47" i="32" s="1"/>
  <c r="O47" i="24"/>
  <c r="X47" i="24" s="1"/>
  <c r="E47" i="32" s="1"/>
  <c r="N47" i="32" s="1"/>
  <c r="S47" i="24"/>
  <c r="AB47" i="24" s="1"/>
  <c r="I47" i="32" s="1"/>
  <c r="R47" i="32" s="1"/>
  <c r="U56" i="24"/>
  <c r="AD56" i="24" s="1"/>
  <c r="K56" i="32" s="1"/>
  <c r="T56" i="32" s="1"/>
  <c r="R56" i="24"/>
  <c r="AA56" i="24" s="1"/>
  <c r="H56" i="32" s="1"/>
  <c r="Q56" i="32" s="1"/>
  <c r="S56" i="24"/>
  <c r="AB56" i="24" s="1"/>
  <c r="I56" i="32" s="1"/>
  <c r="R56" i="32" s="1"/>
  <c r="O56" i="24"/>
  <c r="X56" i="24" s="1"/>
  <c r="E56" i="32" s="1"/>
  <c r="N56" i="32" s="1"/>
  <c r="U15" i="24"/>
  <c r="AD15" i="24" s="1"/>
  <c r="K15" i="32" s="1"/>
  <c r="T15" i="32" s="1"/>
  <c r="Q15" i="24"/>
  <c r="Z15" i="24" s="1"/>
  <c r="G15" i="32" s="1"/>
  <c r="P15" i="32" s="1"/>
  <c r="U21" i="24"/>
  <c r="AD21" i="24" s="1"/>
  <c r="K21" i="32" s="1"/>
  <c r="T21" i="32" s="1"/>
  <c r="T21" i="24"/>
  <c r="AC21" i="24" s="1"/>
  <c r="J21" i="32" s="1"/>
  <c r="S21" i="32" s="1"/>
  <c r="S21" i="24"/>
  <c r="AB21" i="24" s="1"/>
  <c r="I21" i="32" s="1"/>
  <c r="R21" i="32" s="1"/>
  <c r="U18" i="24"/>
  <c r="AD18" i="24" s="1"/>
  <c r="K18" i="32" s="1"/>
  <c r="T18" i="32" s="1"/>
  <c r="M23" i="24"/>
  <c r="T18" i="24"/>
  <c r="AC18" i="24" s="1"/>
  <c r="J18" i="32" s="1"/>
  <c r="S18" i="32" s="1"/>
  <c r="S18" i="24"/>
  <c r="AB18" i="24" s="1"/>
  <c r="I18" i="32" s="1"/>
  <c r="R18" i="32" s="1"/>
  <c r="O29" i="24"/>
  <c r="X29" i="24" s="1"/>
  <c r="E29" i="32" s="1"/>
  <c r="N29" i="32" s="1"/>
  <c r="P18" i="24"/>
  <c r="Y18" i="24" s="1"/>
  <c r="F18" i="32" s="1"/>
  <c r="O18" i="32" s="1"/>
  <c r="O18" i="24"/>
  <c r="X18" i="24" s="1"/>
  <c r="E18" i="32" s="1"/>
  <c r="N18" i="32" s="1"/>
  <c r="R15" i="24"/>
  <c r="AA15" i="24" s="1"/>
  <c r="H15" i="32" s="1"/>
  <c r="Q15" i="32" s="1"/>
  <c r="S15" i="24"/>
  <c r="AB15" i="24" s="1"/>
  <c r="I15" i="32" s="1"/>
  <c r="R15" i="32" s="1"/>
  <c r="Q19" i="24"/>
  <c r="Z19" i="24" s="1"/>
  <c r="G19" i="32" s="1"/>
  <c r="P19" i="32" s="1"/>
  <c r="Q18" i="24"/>
  <c r="Z18" i="24" s="1"/>
  <c r="G18" i="32" s="1"/>
  <c r="P18" i="32" s="1"/>
  <c r="M30" i="24"/>
  <c r="U25" i="24"/>
  <c r="AD25" i="24" s="1"/>
  <c r="K25" i="32" s="1"/>
  <c r="T25" i="32" s="1"/>
  <c r="S25" i="24"/>
  <c r="AB25" i="24" s="1"/>
  <c r="I25" i="32" s="1"/>
  <c r="R25" i="32" s="1"/>
  <c r="U26" i="24"/>
  <c r="AD26" i="24" s="1"/>
  <c r="K26" i="32" s="1"/>
  <c r="T26" i="32" s="1"/>
  <c r="S26" i="24"/>
  <c r="AB26" i="24" s="1"/>
  <c r="I26" i="32" s="1"/>
  <c r="R26" i="32" s="1"/>
  <c r="Q56" i="24"/>
  <c r="Z56" i="24" s="1"/>
  <c r="G56" i="32" s="1"/>
  <c r="P56" i="32" s="1"/>
  <c r="M53" i="24"/>
  <c r="U51" i="24"/>
  <c r="AD51" i="24" s="1"/>
  <c r="K51" i="32" s="1"/>
  <c r="T51" i="32" s="1"/>
  <c r="P51" i="24"/>
  <c r="Y51" i="24" s="1"/>
  <c r="F51" i="32" s="1"/>
  <c r="O51" i="32" s="1"/>
  <c r="O51" i="24"/>
  <c r="X51" i="24" s="1"/>
  <c r="E51" i="32" s="1"/>
  <c r="N51" i="32" s="1"/>
  <c r="P15" i="24"/>
  <c r="Y15" i="24" s="1"/>
  <c r="F15" i="32" s="1"/>
  <c r="O15" i="32" s="1"/>
  <c r="M57" i="24"/>
  <c r="U55" i="24"/>
  <c r="AD55" i="24" s="1"/>
  <c r="K55" i="32" s="1"/>
  <c r="T55" i="32" s="1"/>
  <c r="O55" i="24"/>
  <c r="X55" i="24" s="1"/>
  <c r="E55" i="32" s="1"/>
  <c r="N55" i="32" s="1"/>
  <c r="R55" i="24"/>
  <c r="AA55" i="24" s="1"/>
  <c r="H55" i="32" s="1"/>
  <c r="Q55" i="32" s="1"/>
  <c r="S55" i="24"/>
  <c r="AB55" i="24" s="1"/>
  <c r="I55" i="32" s="1"/>
  <c r="R55" i="32" s="1"/>
  <c r="P21" i="24"/>
  <c r="Y21" i="24" s="1"/>
  <c r="F21" i="32" s="1"/>
  <c r="O21" i="32" s="1"/>
  <c r="O21" i="24"/>
  <c r="X21" i="24" s="1"/>
  <c r="E21" i="32" s="1"/>
  <c r="N21" i="32" s="1"/>
  <c r="P28" i="24"/>
  <c r="Y28" i="24" s="1"/>
  <c r="F28" i="32" s="1"/>
  <c r="O28" i="32" s="1"/>
  <c r="P29" i="24"/>
  <c r="Y29" i="24" s="1"/>
  <c r="F29" i="32" s="1"/>
  <c r="O29" i="32" s="1"/>
  <c r="Q27" i="24"/>
  <c r="Z27" i="24" s="1"/>
  <c r="G27" i="32" s="1"/>
  <c r="P27" i="32" s="1"/>
  <c r="Q26" i="24"/>
  <c r="Z26" i="24" s="1"/>
  <c r="G26" i="32" s="1"/>
  <c r="P26" i="32" s="1"/>
  <c r="U13" i="24"/>
  <c r="AD13" i="24" s="1"/>
  <c r="K13" i="32" s="1"/>
  <c r="T13" i="32" s="1"/>
  <c r="M16" i="24"/>
  <c r="Q13" i="24"/>
  <c r="Z13" i="24" s="1"/>
  <c r="G13" i="32" s="1"/>
  <c r="P13" i="32" s="1"/>
  <c r="S51" i="24"/>
  <c r="AB51" i="24" s="1"/>
  <c r="I51" i="32" s="1"/>
  <c r="R51" i="32" s="1"/>
  <c r="R51" i="24"/>
  <c r="AA51" i="24" s="1"/>
  <c r="H51" i="32" s="1"/>
  <c r="Q51" i="32" s="1"/>
  <c r="U20" i="24"/>
  <c r="AD20" i="24" s="1"/>
  <c r="K20" i="32" s="1"/>
  <c r="T20" i="32" s="1"/>
  <c r="T20" i="24"/>
  <c r="AC20" i="24" s="1"/>
  <c r="J20" i="32" s="1"/>
  <c r="S20" i="32" s="1"/>
  <c r="S20" i="24"/>
  <c r="AB20" i="24" s="1"/>
  <c r="I20" i="32" s="1"/>
  <c r="R20" i="32" s="1"/>
  <c r="R48" i="24"/>
  <c r="AA48" i="24" s="1"/>
  <c r="H48" i="32" s="1"/>
  <c r="Q48" i="32" s="1"/>
  <c r="T29" i="24"/>
  <c r="AC29" i="24" s="1"/>
  <c r="J29" i="32" s="1"/>
  <c r="S29" i="32" s="1"/>
  <c r="Q47" i="24"/>
  <c r="Z47" i="24" s="1"/>
  <c r="G47" i="32" s="1"/>
  <c r="P47" i="32" s="1"/>
  <c r="U37" i="24"/>
  <c r="AD37" i="24" s="1"/>
  <c r="K37" i="32" s="1"/>
  <c r="T37" i="32" s="1"/>
  <c r="Q37" i="24"/>
  <c r="Z37" i="24" s="1"/>
  <c r="G37" i="32" s="1"/>
  <c r="P37" i="32" s="1"/>
  <c r="O37" i="24"/>
  <c r="X37" i="24" s="1"/>
  <c r="E37" i="32" s="1"/>
  <c r="N37" i="32" s="1"/>
  <c r="U28" i="24"/>
  <c r="AD28" i="24" s="1"/>
  <c r="K28" i="32" s="1"/>
  <c r="T28" i="32" s="1"/>
  <c r="S28" i="24"/>
  <c r="AB28" i="24" s="1"/>
  <c r="I28" i="32" s="1"/>
  <c r="R28" i="32" s="1"/>
  <c r="U48" i="24"/>
  <c r="AD48" i="24" s="1"/>
  <c r="K48" i="32" s="1"/>
  <c r="T48" i="32" s="1"/>
  <c r="O48" i="24"/>
  <c r="X48" i="24" s="1"/>
  <c r="E48" i="32" s="1"/>
  <c r="N48" i="32" s="1"/>
  <c r="S48" i="24"/>
  <c r="AB48" i="24" s="1"/>
  <c r="I48" i="32" s="1"/>
  <c r="R48" i="32" s="1"/>
  <c r="O52" i="24"/>
  <c r="X52" i="24" s="1"/>
  <c r="E52" i="32" s="1"/>
  <c r="N52" i="32" s="1"/>
  <c r="T37" i="24"/>
  <c r="AC37" i="24" s="1"/>
  <c r="J37" i="32" s="1"/>
  <c r="S37" i="32" s="1"/>
  <c r="U19" i="24"/>
  <c r="AD19" i="24" s="1"/>
  <c r="K19" i="32" s="1"/>
  <c r="T19" i="32" s="1"/>
  <c r="T19" i="24"/>
  <c r="AC19" i="24" s="1"/>
  <c r="J19" i="32" s="1"/>
  <c r="S19" i="32" s="1"/>
  <c r="S19" i="24"/>
  <c r="AB19" i="24" s="1"/>
  <c r="I19" i="32" s="1"/>
  <c r="R19" i="32" s="1"/>
  <c r="P56" i="24"/>
  <c r="Y56" i="24" s="1"/>
  <c r="F56" i="32" s="1"/>
  <c r="O56" i="32" s="1"/>
  <c r="U38" i="24"/>
  <c r="AD38" i="24" s="1"/>
  <c r="K38" i="32" s="1"/>
  <c r="T38" i="32" s="1"/>
  <c r="Q38" i="24"/>
  <c r="Z38" i="24" s="1"/>
  <c r="G38" i="32" s="1"/>
  <c r="P38" i="32" s="1"/>
  <c r="O38" i="24"/>
  <c r="X38" i="24" s="1"/>
  <c r="E38" i="32" s="1"/>
  <c r="N38" i="32" s="1"/>
  <c r="T48" i="24"/>
  <c r="AC48" i="24" s="1"/>
  <c r="J48" i="32" s="1"/>
  <c r="S48" i="32" s="1"/>
  <c r="U27" i="24"/>
  <c r="AD27" i="24" s="1"/>
  <c r="K27" i="32" s="1"/>
  <c r="T27" i="32" s="1"/>
  <c r="S27" i="24"/>
  <c r="AB27" i="24" s="1"/>
  <c r="I27" i="32" s="1"/>
  <c r="R27" i="32" s="1"/>
  <c r="P52" i="24"/>
  <c r="Y52" i="24" s="1"/>
  <c r="F52" i="32" s="1"/>
  <c r="O52" i="32" s="1"/>
  <c r="S37" i="24"/>
  <c r="AB37" i="24" s="1"/>
  <c r="I37" i="32" s="1"/>
  <c r="R37" i="32" s="1"/>
  <c r="O19" i="24"/>
  <c r="X19" i="24" s="1"/>
  <c r="E19" i="32" s="1"/>
  <c r="N19" i="32" s="1"/>
  <c r="P25" i="24"/>
  <c r="Y25" i="24" s="1"/>
  <c r="F25" i="32" s="1"/>
  <c r="O25" i="32" s="1"/>
  <c r="Q48" i="24"/>
  <c r="Z48" i="24" s="1"/>
  <c r="G48" i="32" s="1"/>
  <c r="P48" i="32" s="1"/>
  <c r="Q29" i="24"/>
  <c r="Z29" i="24" s="1"/>
  <c r="G29" i="32" s="1"/>
  <c r="P29" i="32" s="1"/>
  <c r="Q28" i="24"/>
  <c r="Z28" i="24" s="1"/>
  <c r="G28" i="32" s="1"/>
  <c r="P28" i="32" s="1"/>
  <c r="U14" i="24"/>
  <c r="AD14" i="24" s="1"/>
  <c r="K14" i="32" s="1"/>
  <c r="T14" i="32" s="1"/>
  <c r="Q14" i="24"/>
  <c r="Z14" i="24" s="1"/>
  <c r="G14" i="32" s="1"/>
  <c r="P14" i="32" s="1"/>
  <c r="S52" i="24"/>
  <c r="AB52" i="24" s="1"/>
  <c r="I52" i="32" s="1"/>
  <c r="R52" i="32" s="1"/>
  <c r="R52" i="24"/>
  <c r="AA52" i="24" s="1"/>
  <c r="H52" i="32" s="1"/>
  <c r="Q52" i="32" s="1"/>
  <c r="U22" i="24"/>
  <c r="AD22" i="24" s="1"/>
  <c r="K22" i="32" s="1"/>
  <c r="T22" i="32" s="1"/>
  <c r="T22" i="24"/>
  <c r="AC22" i="24" s="1"/>
  <c r="J22" i="32" s="1"/>
  <c r="S22" i="32" s="1"/>
  <c r="S22" i="24"/>
  <c r="AB22" i="24" s="1"/>
  <c r="I22" i="32" s="1"/>
  <c r="R22" i="32" s="1"/>
  <c r="R47" i="24"/>
  <c r="AA47" i="24" s="1"/>
  <c r="H47" i="32" s="1"/>
  <c r="Q47" i="32" s="1"/>
  <c r="P47" i="24"/>
  <c r="Y47" i="24" s="1"/>
  <c r="F47" i="32" s="1"/>
  <c r="O47" i="32" s="1"/>
  <c r="O28" i="24"/>
  <c r="X28" i="24" s="1"/>
  <c r="E28" i="32" s="1"/>
  <c r="N28" i="32" s="1"/>
  <c r="R29" i="24"/>
  <c r="AA29" i="24" s="1"/>
  <c r="H29" i="32" s="1"/>
  <c r="Q29" i="32" s="1"/>
  <c r="R27" i="24"/>
  <c r="AA27" i="24" s="1"/>
  <c r="H27" i="32" s="1"/>
  <c r="Q27" i="32" s="1"/>
  <c r="T25" i="24"/>
  <c r="AC25" i="24" s="1"/>
  <c r="J25" i="32" s="1"/>
  <c r="S25" i="32" s="1"/>
  <c r="P37" i="24"/>
  <c r="Y37" i="24" s="1"/>
  <c r="F37" i="32" s="1"/>
  <c r="O37" i="32" s="1"/>
  <c r="R38" i="24"/>
  <c r="AA38" i="24" s="1"/>
  <c r="H38" i="32" s="1"/>
  <c r="Q38" i="32" s="1"/>
  <c r="S14" i="24"/>
  <c r="AB14" i="24" s="1"/>
  <c r="I14" i="32" s="1"/>
  <c r="R14" i="32" s="1"/>
  <c r="L14" i="24"/>
  <c r="L15" i="24"/>
  <c r="I15" i="24"/>
  <c r="I14" i="24"/>
  <c r="H14" i="24"/>
  <c r="H15" i="24"/>
  <c r="J15" i="24"/>
  <c r="J14" i="24"/>
  <c r="G14" i="24"/>
  <c r="G15" i="24"/>
  <c r="K14" i="24"/>
  <c r="K15" i="24"/>
  <c r="L13" i="24"/>
  <c r="I13" i="24"/>
  <c r="H13" i="24"/>
  <c r="J13" i="24"/>
  <c r="G13" i="24"/>
  <c r="K13" i="24"/>
  <c r="F15" i="24"/>
  <c r="F14" i="24"/>
  <c r="F13" i="24"/>
  <c r="X16" i="24"/>
  <c r="E16" i="32" s="1"/>
  <c r="N16" i="32" s="1"/>
  <c r="O15" i="24"/>
  <c r="X15" i="24" s="1"/>
  <c r="E15" i="32" s="1"/>
  <c r="N15" i="32" s="1"/>
  <c r="O14" i="24"/>
  <c r="X14" i="24" s="1"/>
  <c r="E14" i="32" s="1"/>
  <c r="N14" i="32" s="1"/>
  <c r="O13" i="24"/>
  <c r="X13" i="24" s="1"/>
  <c r="E13" i="32" s="1"/>
  <c r="N13" i="32" s="1"/>
</calcChain>
</file>

<file path=xl/sharedStrings.xml><?xml version="1.0" encoding="utf-8"?>
<sst xmlns="http://schemas.openxmlformats.org/spreadsheetml/2006/main" count="960" uniqueCount="479">
  <si>
    <t>ons</t>
  </si>
  <si>
    <t>% AKP**)</t>
  </si>
  <si>
    <t>Energi (Kkal)</t>
  </si>
  <si>
    <t>Protein (Gram)</t>
  </si>
  <si>
    <t>Kode Pangan</t>
  </si>
  <si>
    <t>DKBM SUSENAS</t>
  </si>
  <si>
    <t>Berat (gram)</t>
  </si>
  <si>
    <t>Per Hari</t>
  </si>
  <si>
    <t>Konversi Bentuk</t>
  </si>
  <si>
    <t>Satuan</t>
  </si>
  <si>
    <t>A.  Padi-padian</t>
  </si>
  <si>
    <t>B. Umbi-umbian</t>
  </si>
  <si>
    <t xml:space="preserve">     Kentang</t>
  </si>
  <si>
    <t>C. Ikan</t>
  </si>
  <si>
    <t xml:space="preserve">    1] Ikan segar </t>
  </si>
  <si>
    <t xml:space="preserve">    Ekor kuning</t>
  </si>
  <si>
    <t xml:space="preserve">    Tongkol/tuna/cakalang</t>
  </si>
  <si>
    <t xml:space="preserve">    Tenggiri</t>
  </si>
  <si>
    <t xml:space="preserve">    Selar</t>
  </si>
  <si>
    <t xml:space="preserve">    Kembung</t>
  </si>
  <si>
    <t xml:space="preserve">    Teri</t>
  </si>
  <si>
    <t xml:space="preserve">    Bandeng</t>
  </si>
  <si>
    <t xml:space="preserve">    Gabus</t>
  </si>
  <si>
    <t xml:space="preserve">    Mujair</t>
  </si>
  <si>
    <t xml:space="preserve">    Mas</t>
  </si>
  <si>
    <t xml:space="preserve">    Lele</t>
  </si>
  <si>
    <t xml:space="preserve">    Kakap</t>
  </si>
  <si>
    <t xml:space="preserve">    Baronang</t>
  </si>
  <si>
    <t xml:space="preserve">    2] Udang dan hewan air lainnya yang segar </t>
  </si>
  <si>
    <t xml:space="preserve">    Udang</t>
  </si>
  <si>
    <t xml:space="preserve">    Cumi-cumi/sotong</t>
  </si>
  <si>
    <t xml:space="preserve">    Ketam/kepiting/rajungan</t>
  </si>
  <si>
    <t xml:space="preserve">    Kerang/siput</t>
  </si>
  <si>
    <t xml:space="preserve">    Lainnya :</t>
  </si>
  <si>
    <t xml:space="preserve">    3] Ikan diawetkan </t>
  </si>
  <si>
    <t xml:space="preserve">    Kembung (peda)</t>
  </si>
  <si>
    <t>Ons</t>
  </si>
  <si>
    <t xml:space="preserve">    Sepat</t>
  </si>
  <si>
    <t xml:space="preserve">    Ikan dalam kaleng</t>
  </si>
  <si>
    <t xml:space="preserve">    4] Udang dan hewan air lainnya yang diawetkan </t>
  </si>
  <si>
    <t xml:space="preserve">    Udang (ebi)</t>
  </si>
  <si>
    <t>D. Daging</t>
  </si>
  <si>
    <t xml:space="preserve">    1] Daging segar </t>
  </si>
  <si>
    <t xml:space="preserve">    Daging sapi</t>
  </si>
  <si>
    <t xml:space="preserve">    Daging kerbau</t>
  </si>
  <si>
    <t xml:space="preserve">    Daging kambing</t>
  </si>
  <si>
    <t xml:space="preserve">    Daging babi</t>
  </si>
  <si>
    <t xml:space="preserve">    Daging ayam ras</t>
  </si>
  <si>
    <t xml:space="preserve">    Daging ayam kampung</t>
  </si>
  <si>
    <t xml:space="preserve">    Daging unggas lainnya :</t>
  </si>
  <si>
    <t xml:space="preserve">    Daging lainnya :</t>
  </si>
  <si>
    <t xml:space="preserve">    2] Daging diawetkan </t>
  </si>
  <si>
    <t xml:space="preserve">    Dendeng</t>
  </si>
  <si>
    <t xml:space="preserve">    Abon</t>
  </si>
  <si>
    <t xml:space="preserve">    Daging dalam kaleng</t>
  </si>
  <si>
    <t xml:space="preserve">    Hati</t>
  </si>
  <si>
    <t xml:space="preserve">    Jeroan (selain hati)</t>
  </si>
  <si>
    <t xml:space="preserve">    Tetelan</t>
  </si>
  <si>
    <t xml:space="preserve">    Tulang</t>
  </si>
  <si>
    <t>E. Telur dan Susu</t>
  </si>
  <si>
    <t>Butir</t>
  </si>
  <si>
    <t>Liter</t>
  </si>
  <si>
    <t>250ml*)</t>
  </si>
  <si>
    <t>397gr**)</t>
  </si>
  <si>
    <t>400gr***)</t>
  </si>
  <si>
    <t>F. Sayur-sayuran</t>
  </si>
  <si>
    <t xml:space="preserve">    Bayam</t>
  </si>
  <si>
    <t xml:space="preserve">    Kangkung</t>
  </si>
  <si>
    <t xml:space="preserve">    Kol/kubis</t>
  </si>
  <si>
    <t xml:space="preserve">    Sawi putih (petsai)</t>
  </si>
  <si>
    <t xml:space="preserve">    Sawi hijau</t>
  </si>
  <si>
    <t xml:space="preserve">    Buncis</t>
  </si>
  <si>
    <t xml:space="preserve">    Kacang panjang</t>
  </si>
  <si>
    <t xml:space="preserve">    Tomat sayur</t>
  </si>
  <si>
    <t xml:space="preserve">    Wortel</t>
  </si>
  <si>
    <t xml:space="preserve">    Mentimun</t>
  </si>
  <si>
    <t xml:space="preserve">    Daun ketela pohon</t>
  </si>
  <si>
    <t xml:space="preserve">    Terong</t>
  </si>
  <si>
    <t xml:space="preserve">    Tauge</t>
  </si>
  <si>
    <t xml:space="preserve">    Labu</t>
  </si>
  <si>
    <t xml:space="preserve">    Jagung muda kecil</t>
  </si>
  <si>
    <t xml:space="preserve">    Sayur sop/cap cay</t>
  </si>
  <si>
    <t>Bungkus</t>
  </si>
  <si>
    <t xml:space="preserve">    Sayur asam/lodeh</t>
  </si>
  <si>
    <t xml:space="preserve">    Nangka muda</t>
  </si>
  <si>
    <t xml:space="preserve">    Pepaya muda</t>
  </si>
  <si>
    <t>G. Kacang-kacangan</t>
  </si>
  <si>
    <t xml:space="preserve">    Kacang tanah tanpa Kulit</t>
  </si>
  <si>
    <t xml:space="preserve">    Kacang tanah dengan kulit</t>
  </si>
  <si>
    <t xml:space="preserve">    Kacang kedele</t>
  </si>
  <si>
    <t xml:space="preserve">    Kacang mede</t>
  </si>
  <si>
    <t>H. Buah-buahan</t>
  </si>
  <si>
    <t>I. Minyak dan Lemak</t>
  </si>
  <si>
    <t>J. Bahan minuman</t>
  </si>
  <si>
    <t>150gr</t>
  </si>
  <si>
    <t>620ml*)</t>
  </si>
  <si>
    <t xml:space="preserve">   </t>
  </si>
  <si>
    <t>K. Bumbu-bumbuan</t>
  </si>
  <si>
    <t xml:space="preserve">    Garam</t>
  </si>
  <si>
    <t xml:space="preserve">    Kemiri</t>
  </si>
  <si>
    <t xml:space="preserve">    Ketumbar/jinten</t>
  </si>
  <si>
    <t xml:space="preserve">    Merica/lada</t>
  </si>
  <si>
    <t xml:space="preserve">    Asam</t>
  </si>
  <si>
    <t xml:space="preserve">    Biji pala</t>
  </si>
  <si>
    <t xml:space="preserve">    Cengkeh</t>
  </si>
  <si>
    <t xml:space="preserve">    Terasi/petis</t>
  </si>
  <si>
    <t xml:space="preserve">    Kecap</t>
  </si>
  <si>
    <t>140ml*)</t>
  </si>
  <si>
    <t xml:space="preserve">    Penyedap masakan/vetsin</t>
  </si>
  <si>
    <t xml:space="preserve">    Sambal masak jadi/sauce tomat</t>
  </si>
  <si>
    <t xml:space="preserve">    Bumbu masak jadi/kemasan</t>
  </si>
  <si>
    <t xml:space="preserve">    Bumbu dapur lainnya :</t>
  </si>
  <si>
    <t>L. Konsumsi Lainnya</t>
  </si>
  <si>
    <t xml:space="preserve">    Kerupuk</t>
  </si>
  <si>
    <t xml:space="preserve">    Emping</t>
  </si>
  <si>
    <t xml:space="preserve">    Mie basah</t>
  </si>
  <si>
    <t xml:space="preserve">    Mie instan</t>
  </si>
  <si>
    <t>80gr**)</t>
  </si>
  <si>
    <t xml:space="preserve">    Bihun</t>
  </si>
  <si>
    <t xml:space="preserve">    Makaroni/mei kering</t>
  </si>
  <si>
    <t xml:space="preserve">    Bahan agar-agar</t>
  </si>
  <si>
    <t>Bungkus(7gram)</t>
  </si>
  <si>
    <t xml:space="preserve">    Bubur bayi kemasan</t>
  </si>
  <si>
    <t>150gr*)</t>
  </si>
  <si>
    <t>M. Makanan dan Minuman jadi</t>
  </si>
  <si>
    <t>Bungkus kecil</t>
  </si>
  <si>
    <t>Potong</t>
  </si>
  <si>
    <t>Porsi</t>
  </si>
  <si>
    <t>Porsi/5 tusuk</t>
  </si>
  <si>
    <t>Mangkok kecil</t>
  </si>
  <si>
    <t>200ml*)</t>
  </si>
  <si>
    <t>200ml***)</t>
  </si>
  <si>
    <t>200ml**)</t>
  </si>
  <si>
    <t>100ml**)</t>
  </si>
  <si>
    <t>Gelas</t>
  </si>
  <si>
    <t>N. Minuman yang Mengandung Alkohol</t>
  </si>
  <si>
    <t>620ml***)</t>
  </si>
  <si>
    <t xml:space="preserve">     Beras</t>
  </si>
  <si>
    <t xml:space="preserve">     Jagung</t>
  </si>
  <si>
    <t xml:space="preserve">     Terigu</t>
  </si>
  <si>
    <t xml:space="preserve">     Subtotal Padi-padian</t>
  </si>
  <si>
    <t xml:space="preserve">     Ubi Jalar</t>
  </si>
  <si>
    <t xml:space="preserve">     Sagu</t>
  </si>
  <si>
    <t xml:space="preserve">     Umbi Lainnya</t>
  </si>
  <si>
    <t xml:space="preserve">     Subtotal Umbi-umbian</t>
  </si>
  <si>
    <t xml:space="preserve">     Daging Ruminansia</t>
  </si>
  <si>
    <t xml:space="preserve">     Daging Unggas</t>
  </si>
  <si>
    <t xml:space="preserve">     Telur</t>
  </si>
  <si>
    <t xml:space="preserve">     Susu</t>
  </si>
  <si>
    <t xml:space="preserve">     Subtotal Pangan Hewani</t>
  </si>
  <si>
    <t xml:space="preserve">     Minyak Kelapa</t>
  </si>
  <si>
    <t xml:space="preserve">     Subtotal Minyak dan Lemak</t>
  </si>
  <si>
    <t xml:space="preserve">     Kelapa</t>
  </si>
  <si>
    <t xml:space="preserve">     Kemiri</t>
  </si>
  <si>
    <t xml:space="preserve">     Subtotal Buah/Biji Berminyak</t>
  </si>
  <si>
    <t xml:space="preserve">     Kacang Tanah</t>
  </si>
  <si>
    <t xml:space="preserve">     Kacang Kedelai</t>
  </si>
  <si>
    <t xml:space="preserve">     Kacang Hijau</t>
  </si>
  <si>
    <t xml:space="preserve">     Kacang lain</t>
  </si>
  <si>
    <t xml:space="preserve">     Subtotal Kacang-kacangan</t>
  </si>
  <si>
    <t xml:space="preserve">     Gula Pasir</t>
  </si>
  <si>
    <t xml:space="preserve">     Gula Merah</t>
  </si>
  <si>
    <t xml:space="preserve">     Subtotal Gula</t>
  </si>
  <si>
    <t xml:space="preserve">     Sayur</t>
  </si>
  <si>
    <t xml:space="preserve">     Buah</t>
  </si>
  <si>
    <t xml:space="preserve">     Subtotal Sayur dan Buah</t>
  </si>
  <si>
    <t xml:space="preserve">     Minuman</t>
  </si>
  <si>
    <t xml:space="preserve">     Bumbu</t>
  </si>
  <si>
    <t xml:space="preserve">     Subtotal Lain-lain</t>
  </si>
  <si>
    <t xml:space="preserve">  Jiwa</t>
  </si>
  <si>
    <t>No</t>
  </si>
  <si>
    <t>Kelompok Pangan</t>
  </si>
  <si>
    <t>%</t>
  </si>
  <si>
    <t>Bobot</t>
  </si>
  <si>
    <t>Skor PPH</t>
  </si>
  <si>
    <t>Padi-padian</t>
  </si>
  <si>
    <t>Umbi-umbian</t>
  </si>
  <si>
    <t>Pangan Hewani</t>
  </si>
  <si>
    <t>Minyak dan Lemak</t>
  </si>
  <si>
    <t>Buah/Biji Berminyak</t>
  </si>
  <si>
    <t>Kacang-kacangan</t>
  </si>
  <si>
    <t>Gula</t>
  </si>
  <si>
    <t>Sayur dan Buah</t>
  </si>
  <si>
    <t>Lain-lain</t>
  </si>
  <si>
    <t xml:space="preserve">Total </t>
  </si>
  <si>
    <t>Kelompok/Jenis Pangan</t>
  </si>
  <si>
    <t>Gram</t>
  </si>
  <si>
    <t xml:space="preserve"> 3. Pangan Hewani</t>
  </si>
  <si>
    <t xml:space="preserve"> 4. Minyak dan Lemak</t>
  </si>
  <si>
    <t xml:space="preserve"> 2. Umbi-umbian</t>
  </si>
  <si>
    <t xml:space="preserve"> 5. Buah/Biji Berminyak</t>
  </si>
  <si>
    <t xml:space="preserve"> 6. Kacang-kacangan</t>
  </si>
  <si>
    <t>Skor AKE</t>
  </si>
  <si>
    <t>Skor Maks</t>
  </si>
  <si>
    <t>Skor Aktual</t>
  </si>
  <si>
    <t>% AKE*)</t>
  </si>
  <si>
    <t>Angka Kecukupan Gizi (Kkal/Kap/Hari)</t>
  </si>
  <si>
    <t>Perhitungan Skor Pola Pangan Harapan (PPH)</t>
  </si>
  <si>
    <t>Nama Instansi</t>
  </si>
  <si>
    <t>Skor Pola Pangan Harapan</t>
  </si>
  <si>
    <t>Kg</t>
  </si>
  <si>
    <t>gr</t>
  </si>
  <si>
    <t>Rata-Rata Konsumsi Pangan Menurut Kelompok Pangan PPH (Gram/Kapita/Hari)</t>
  </si>
  <si>
    <t>Kontribusi Energi Menurut Kelompok Pangan (%)</t>
  </si>
  <si>
    <t>Rata-Rata Konsumsi Energi Menurut Kelompok Pangan (Kkal/Kapita/Hari)</t>
  </si>
  <si>
    <t xml:space="preserve"> 7. Gula</t>
  </si>
  <si>
    <t xml:space="preserve"> 9. Lain-lain</t>
  </si>
  <si>
    <t xml:space="preserve"> 8. Sayur dan Buah</t>
  </si>
  <si>
    <t xml:space="preserve"> 1. Padi-Padian</t>
  </si>
  <si>
    <t>Angka Kecukupan Energi (Kkal/Kap/Hari)</t>
  </si>
  <si>
    <t xml:space="preserve">Email : </t>
  </si>
  <si>
    <t>heryatno@hotmail.com</t>
  </si>
  <si>
    <t>1.</t>
  </si>
  <si>
    <t>4.</t>
  </si>
  <si>
    <t>Data Demografi</t>
  </si>
  <si>
    <t>Buah</t>
  </si>
  <si>
    <t>Level Wilayah Analisis</t>
  </si>
  <si>
    <t>Nama Wilayah Analisis</t>
  </si>
  <si>
    <t>Alamat Kantor</t>
  </si>
  <si>
    <t>Tingkat Pertumbuhan Penduduk</t>
  </si>
  <si>
    <t xml:space="preserve">  % Per Tahun</t>
  </si>
  <si>
    <t>BASELINE DATA</t>
  </si>
  <si>
    <t>Jenis Pangan</t>
  </si>
  <si>
    <t>Energi (kkal)</t>
  </si>
  <si>
    <t>Protein (gr)</t>
  </si>
  <si>
    <t>Lemak (gr)</t>
  </si>
  <si>
    <t>Kharbo (gr)</t>
  </si>
  <si>
    <t xml:space="preserve">    Beras (beras lokal, kualitas unggul, impor)</t>
  </si>
  <si>
    <t xml:space="preserve">    Beras ketan</t>
  </si>
  <si>
    <t xml:space="preserve">    Jagung basah dengan kulit</t>
  </si>
  <si>
    <t xml:space="preserve">    Jagung pipilan/beras jagung</t>
  </si>
  <si>
    <t xml:space="preserve">    Tepung beras</t>
  </si>
  <si>
    <t xml:space="preserve">    Tepung jagung (maizena)</t>
  </si>
  <si>
    <t xml:space="preserve">    Tepung terigu</t>
  </si>
  <si>
    <t xml:space="preserve">    Padi-padian lainnya :</t>
  </si>
  <si>
    <t xml:space="preserve">    Jeruk</t>
  </si>
  <si>
    <t xml:space="preserve">    Mangga</t>
  </si>
  <si>
    <t xml:space="preserve">    Apel</t>
  </si>
  <si>
    <t xml:space="preserve">    Alpokat</t>
  </si>
  <si>
    <t xml:space="preserve">    Rambutan</t>
  </si>
  <si>
    <t xml:space="preserve">    Duku</t>
  </si>
  <si>
    <t xml:space="preserve">    Durian</t>
  </si>
  <si>
    <t xml:space="preserve">    Salak</t>
  </si>
  <si>
    <t xml:space="preserve">    Nenas</t>
  </si>
  <si>
    <t xml:space="preserve">    Pisang ambon</t>
  </si>
  <si>
    <t xml:space="preserve">    Pisang raja</t>
  </si>
  <si>
    <t xml:space="preserve">    Pisang lainnya </t>
  </si>
  <si>
    <t xml:space="preserve">    Jambu</t>
  </si>
  <si>
    <t xml:space="preserve">    Sawo</t>
  </si>
  <si>
    <t xml:space="preserve">    Belimbing</t>
  </si>
  <si>
    <t xml:space="preserve">    Kedondong</t>
  </si>
  <si>
    <t xml:space="preserve">    Semangka</t>
  </si>
  <si>
    <t xml:space="preserve">    Melon</t>
  </si>
  <si>
    <t xml:space="preserve">    Nangka</t>
  </si>
  <si>
    <t xml:space="preserve">    Tomat buah</t>
  </si>
  <si>
    <t xml:space="preserve">    Buah dalam kaleng</t>
  </si>
  <si>
    <t xml:space="preserve">    Minyak kelapa</t>
  </si>
  <si>
    <t xml:space="preserve">    Minyak goreng lainnya</t>
  </si>
  <si>
    <t xml:space="preserve">    Kelapa</t>
  </si>
  <si>
    <t xml:space="preserve">    Gula pasir</t>
  </si>
  <si>
    <t xml:space="preserve">    Gula merah (termasuk gula air)</t>
  </si>
  <si>
    <t xml:space="preserve">    Teh</t>
  </si>
  <si>
    <t xml:space="preserve">    Kopi (bubuk, biji, instan)</t>
  </si>
  <si>
    <t xml:space="preserve">    Coklat instan</t>
  </si>
  <si>
    <t xml:space="preserve">    Coklat bubuk</t>
  </si>
  <si>
    <t xml:space="preserve">    Sirup</t>
  </si>
  <si>
    <t xml:space="preserve">    Lainnya</t>
  </si>
  <si>
    <t xml:space="preserve">    Roti tawar</t>
  </si>
  <si>
    <t xml:space="preserve">    Roti manis/lainnya</t>
  </si>
  <si>
    <t xml:space="preserve">    Kue kering/biskuit</t>
  </si>
  <si>
    <t xml:space="preserve">    Kue basah</t>
  </si>
  <si>
    <t xml:space="preserve">    Makanan gorengan</t>
  </si>
  <si>
    <t xml:space="preserve">    Bubur kacang hijau</t>
  </si>
  <si>
    <t xml:space="preserve">    Gado-gado/ketoprak/pecel</t>
  </si>
  <si>
    <t xml:space="preserve">    Nasi campur/rames</t>
  </si>
  <si>
    <t xml:space="preserve">    Nasi goreng</t>
  </si>
  <si>
    <t xml:space="preserve">    Nasi putih</t>
  </si>
  <si>
    <t xml:space="preserve">    Lontong/ketupat sayur</t>
  </si>
  <si>
    <t xml:space="preserve">    Soto/gule/sop/rawon</t>
  </si>
  <si>
    <t xml:space="preserve">    Sate/tongseng</t>
  </si>
  <si>
    <t xml:space="preserve">    Mie bakso/rebus/goreng</t>
  </si>
  <si>
    <t xml:space="preserve">    Makanan ringan anak-anak</t>
  </si>
  <si>
    <t xml:space="preserve">    Ikan (goreng,bakar,dll)</t>
  </si>
  <si>
    <t xml:space="preserve">    Ayam/daging (goreng,dll)</t>
  </si>
  <si>
    <t xml:space="preserve">    Makanan jadi lainnya</t>
  </si>
  <si>
    <t xml:space="preserve">    Air kemasan</t>
  </si>
  <si>
    <t xml:space="preserve">    Air kemasan galon</t>
  </si>
  <si>
    <t xml:space="preserve">    Air teh kemasan</t>
  </si>
  <si>
    <t xml:space="preserve">    Sari buah kemasan</t>
  </si>
  <si>
    <t xml:space="preserve">    Minuman ringan CO2(soda)</t>
  </si>
  <si>
    <t xml:space="preserve">    Minuman kesehatan/energi</t>
  </si>
  <si>
    <t xml:space="preserve">    Minuman lainnya(kopi,dll)</t>
  </si>
  <si>
    <t xml:space="preserve">    Es krim</t>
  </si>
  <si>
    <t xml:space="preserve">    Es lainnya</t>
  </si>
  <si>
    <t xml:space="preserve">    Ketela pohon/singkong</t>
  </si>
  <si>
    <t xml:space="preserve">    Ketela rambat/ubi jalar</t>
  </si>
  <si>
    <t xml:space="preserve">    Sagu (bukan dari ketela pohon, missal: sagu Ambon)</t>
  </si>
  <si>
    <t xml:space="preserve">    Talas/keladi</t>
  </si>
  <si>
    <t xml:space="preserve">    Kentang</t>
  </si>
  <si>
    <t xml:space="preserve">    Gaplek</t>
  </si>
  <si>
    <t xml:space="preserve">    Tepung Gaplek (tiwul)</t>
  </si>
  <si>
    <t xml:space="preserve">    Tepung ketela pohon (tapioka/kanji)</t>
  </si>
  <si>
    <t xml:space="preserve">    Umbi-umbian lainnya :</t>
  </si>
  <si>
    <t xml:space="preserve">    Ikan segar lainnya:</t>
  </si>
  <si>
    <t xml:space="preserve">    Telur ayam ras</t>
  </si>
  <si>
    <t xml:space="preserve">    Telur ayam kampung</t>
  </si>
  <si>
    <t xml:space="preserve">    Telur itik/itik manila</t>
  </si>
  <si>
    <t xml:space="preserve">    Telur puyuh</t>
  </si>
  <si>
    <t xml:space="preserve">    Telur lainnya</t>
  </si>
  <si>
    <t xml:space="preserve">    Telur asin</t>
  </si>
  <si>
    <t xml:space="preserve">    Susu murni</t>
  </si>
  <si>
    <t xml:space="preserve">    Susu cair pabrik</t>
  </si>
  <si>
    <t xml:space="preserve">    Susu kental manis</t>
  </si>
  <si>
    <t xml:space="preserve">    Susu bubuk</t>
  </si>
  <si>
    <t xml:space="preserve">    Susu bubuk bayi</t>
  </si>
  <si>
    <t xml:space="preserve">    Keju</t>
  </si>
  <si>
    <t xml:space="preserve">    Hasil lain dari susu : </t>
  </si>
  <si>
    <t xml:space="preserve">    Jamur</t>
  </si>
  <si>
    <t xml:space="preserve">    Petai</t>
  </si>
  <si>
    <t xml:space="preserve">    Jengkol</t>
  </si>
  <si>
    <t xml:space="preserve">    Bawang merah</t>
  </si>
  <si>
    <t xml:space="preserve">    Bawang putih</t>
  </si>
  <si>
    <t xml:space="preserve">    Cabe merah</t>
  </si>
  <si>
    <t xml:space="preserve">    Cabe hijau</t>
  </si>
  <si>
    <t xml:space="preserve">    Cabe rawit</t>
  </si>
  <si>
    <t xml:space="preserve">    Sayur dalam kaleng</t>
  </si>
  <si>
    <t xml:space="preserve">    Kacang hijau</t>
  </si>
  <si>
    <t xml:space="preserve">    Kacang lainnya :</t>
  </si>
  <si>
    <t xml:space="preserve">    Tahu</t>
  </si>
  <si>
    <t xml:space="preserve">    Tempe</t>
  </si>
  <si>
    <t xml:space="preserve">    Tauco</t>
  </si>
  <si>
    <t xml:space="preserve">    Oncom</t>
  </si>
  <si>
    <t xml:space="preserve">    3] Lainnya </t>
  </si>
  <si>
    <t>Nama Provinsi</t>
  </si>
  <si>
    <t>FAKTOR KOREKSI PERHITUNGAN SKOR POLA KONSUMSI PANGAN HARAPAN</t>
  </si>
  <si>
    <t>Sumatera Utara</t>
  </si>
  <si>
    <t>Sumatera Barat</t>
  </si>
  <si>
    <t>Riau</t>
  </si>
  <si>
    <t>Kepulauan Riau</t>
  </si>
  <si>
    <t>Jambi</t>
  </si>
  <si>
    <t>Sumatera Selatan</t>
  </si>
  <si>
    <t>Bangka Belitung</t>
  </si>
  <si>
    <t>Bengkulu</t>
  </si>
  <si>
    <t>Lampung</t>
  </si>
  <si>
    <t>DKI Jakarta</t>
  </si>
  <si>
    <t>Jawa Barat</t>
  </si>
  <si>
    <t>Banten</t>
  </si>
  <si>
    <t>Jawa Tengah</t>
  </si>
  <si>
    <t>DI Yogyakarta</t>
  </si>
  <si>
    <t>Jawa Timur</t>
  </si>
  <si>
    <t>Bali</t>
  </si>
  <si>
    <t>Pangan hewani</t>
  </si>
  <si>
    <t>Minyak dan lemak</t>
  </si>
  <si>
    <t>Buah/biji berminyak</t>
  </si>
  <si>
    <t>Sayur dan buah</t>
  </si>
  <si>
    <t>Kalimantan Barat</t>
  </si>
  <si>
    <t>Kalimantan Tengah</t>
  </si>
  <si>
    <t>Kalimantan Selatan</t>
  </si>
  <si>
    <t>Kalimantan Timur</t>
  </si>
  <si>
    <t>Sulawesi Utara</t>
  </si>
  <si>
    <t>Sulawesi Tengah</t>
  </si>
  <si>
    <t>Sulawesi Tenggara</t>
  </si>
  <si>
    <t>Sulawesi Selatan</t>
  </si>
  <si>
    <t>Gorontalo</t>
  </si>
  <si>
    <t>Sulawesi Barat</t>
  </si>
  <si>
    <t>Maluku</t>
  </si>
  <si>
    <t>Maluku Utara</t>
  </si>
  <si>
    <t>Papua</t>
  </si>
  <si>
    <t>Papua Barat</t>
  </si>
  <si>
    <t>Indonesia</t>
  </si>
  <si>
    <t>Tahun Survey Sosial Ekonomi Nasional</t>
  </si>
  <si>
    <t>Baseline Data</t>
  </si>
  <si>
    <t>Nanggroe Aceh Darussalam Aceh</t>
  </si>
  <si>
    <t>Nusa Tenggara Barat</t>
  </si>
  <si>
    <t>Nusa Tenggara Timur</t>
  </si>
  <si>
    <t>Lemak (Gram)</t>
  </si>
  <si>
    <t>Departemen Gizi Masyarakat</t>
  </si>
  <si>
    <t>Fakultas Ekologi Manusia - Institut Pertanian Bogor</t>
  </si>
  <si>
    <t>DEPARTEMEN GIZI MASYARAKAT</t>
  </si>
  <si>
    <t>FAKULTAS EKOLOGI MANUSIA - INSTITUT PERTANIAN BOGOR</t>
  </si>
  <si>
    <t>Cellphone: +6281311236150</t>
  </si>
  <si>
    <t>Telephone: 0251-621258/628304, Fax. 0251-622276</t>
  </si>
  <si>
    <t xml:space="preserve">    Minyak jagung</t>
  </si>
  <si>
    <t xml:space="preserve">     Ikan</t>
  </si>
  <si>
    <t xml:space="preserve">     Singkong</t>
  </si>
  <si>
    <t xml:space="preserve">     Minyak Lainnya</t>
  </si>
  <si>
    <t xml:space="preserve">     Margarin</t>
  </si>
  <si>
    <t xml:space="preserve">    Margarin</t>
  </si>
  <si>
    <t xml:space="preserve">    Pepaya</t>
  </si>
  <si>
    <t>600ml*</t>
  </si>
  <si>
    <t>1000ml*)</t>
  </si>
  <si>
    <t>Tahun Dasar</t>
  </si>
  <si>
    <t>Rata-rata Konsumsi Energi (Kkal/Kapita/Hari)</t>
  </si>
  <si>
    <t>Tahun Proyeksi</t>
  </si>
  <si>
    <t>Kontribusi Energi Aktual (%)</t>
  </si>
  <si>
    <t>BERDASARKAN DATA SURVEY SOSIAL EKONOMI NASIONAL</t>
  </si>
  <si>
    <t>Rata-rata Kebutuhan Pangan (Kg/Kapita/Tahun)</t>
  </si>
  <si>
    <t>Rata-Rata Konsumsi Pangan (Kg/Kapita/Tahun)</t>
  </si>
  <si>
    <t>Software ini disusun untuk membantu perencana dalam menganalisis konsumsi pangan dan gizi penduduk dalam rangka mengestimasi kebutuhan pangan wilayah dengan menggunakan pendekatan Pola Pangan Harapan (PPH).</t>
  </si>
  <si>
    <t>PETUNJUK PENGGUNAAN</t>
  </si>
  <si>
    <t>Fsaktor Koreksi</t>
  </si>
  <si>
    <t>Standar Analisis</t>
  </si>
  <si>
    <t>Angka Kecukupan Protein</t>
  </si>
  <si>
    <t>Angka Kecukupan Energi</t>
  </si>
  <si>
    <t>Energi</t>
  </si>
  <si>
    <t>Energi Kkal</t>
  </si>
  <si>
    <t>Protein Gram</t>
  </si>
  <si>
    <t>Lemak Gram</t>
  </si>
  <si>
    <t>Karbo Gram</t>
  </si>
  <si>
    <t>Berat Gram</t>
  </si>
  <si>
    <t>Data Hasil Justifikasi</t>
  </si>
  <si>
    <t xml:space="preserve">  Kkak/kapita/hari</t>
  </si>
  <si>
    <t xml:space="preserve">  Gram/kapita/hari</t>
  </si>
  <si>
    <t>Ir. Yayat Heryatno, MPS</t>
  </si>
  <si>
    <t>TIM PENGEMBANG METODE JUSTIFIKASI</t>
  </si>
  <si>
    <t>PROGRAMER APLIKASI</t>
  </si>
  <si>
    <t>DATA KONSUMSI PANGAN DAN GIZI PENDUDUK</t>
  </si>
  <si>
    <t>Rata-rata Kebutuhan Pangan (Ton/Tahun)</t>
  </si>
  <si>
    <t>Rata-Rata Konsumsi Pangan (Gram/Kapita/Hari)</t>
  </si>
  <si>
    <t>Kontribusi Berat Aktual (%)</t>
  </si>
  <si>
    <t>Kota</t>
  </si>
  <si>
    <t>Desa</t>
  </si>
  <si>
    <t>Rata-Rata Konsumsi Per Hari</t>
  </si>
  <si>
    <t>Wilayah</t>
  </si>
  <si>
    <t>Total</t>
  </si>
  <si>
    <t>Kuantitas Pangan Setara Berat Kelompok PPH</t>
  </si>
  <si>
    <t>Kkal</t>
  </si>
  <si>
    <t>Gram/Hari</t>
  </si>
  <si>
    <t>Kkal/Hari</t>
  </si>
  <si>
    <t>WILAYAH KOTA</t>
  </si>
  <si>
    <t>WILAYAH DESA</t>
  </si>
  <si>
    <t>TOTAL WILAYAH</t>
  </si>
  <si>
    <t>Keterangan = *) Angka Kecekupan Energi</t>
  </si>
  <si>
    <t>Protein</t>
  </si>
  <si>
    <t>Kandungan Gizi</t>
  </si>
  <si>
    <t>Kilogram</t>
  </si>
  <si>
    <t>Per Tahun</t>
  </si>
  <si>
    <t>Berat Pangan</t>
  </si>
  <si>
    <t>Wilayah Desa</t>
  </si>
  <si>
    <t>Total Wilayah</t>
  </si>
  <si>
    <t>Keterangan =   *) Angka Kecekupan Energi</t>
  </si>
  <si>
    <t xml:space="preserve">                       **) Angka Kecekupan Protein</t>
  </si>
  <si>
    <t>Konsumsi Energi Per Hari</t>
  </si>
  <si>
    <t>Karbo (Gram)</t>
  </si>
  <si>
    <t>Kerjasama</t>
  </si>
  <si>
    <t>Dengan</t>
  </si>
  <si>
    <t>Demi kemudahan pengoperasian software pengguna hanya perlu melengkapi data Baseline dan Survey Sosial Ekonomi Nasional (SUSENAS) dengan mengganti cell data berwarna merah sesuai dengan data pada masing-masing wilayah. Oleh karena itu, Pengguna tidak diperkenankan merubah data maupun formula yang selain data berwarna merah karena akan menyebabkan kerusakan program</t>
  </si>
  <si>
    <t xml:space="preserve">Untuk mempelajari secara lebih detil tentang metode dan teknis justifikasi analisis Pola Pangan Harapan berdasarkan data Susenas dapat dibaca lebih lanjut pada Buku Panduan Metode Perhitungan Skor Pola Pangan Harapan Menggunakan Data Konsumsi Pangan dan Indeks Harga Konsumen
</t>
  </si>
  <si>
    <t>1.  Dr. Ir. Drajat Martianto, MS</t>
  </si>
  <si>
    <t>2.  Ir. Yayat Heryatno, MPS</t>
  </si>
  <si>
    <t>3.  Ir. Mewa Ariani, MS</t>
  </si>
  <si>
    <t>5.  Apriyanto D. Nugroho, STP, MSc</t>
  </si>
  <si>
    <t>6.  Ir. Mardiananingsih, M.Si</t>
  </si>
  <si>
    <t>8.  Anggit Gantina, SP</t>
  </si>
  <si>
    <t>9.  Prastiwi Dewi A, STP</t>
  </si>
  <si>
    <t>Wilayah Kota</t>
  </si>
  <si>
    <t>Aplikasi ini secara garis besar terdiri dari enam bagian pokok, yaitu:  data-data Baseline dan Konsumsi Pangan hasil SUSENAS serta hasil analisis Pola Konsumsi, Kecukupan Gizi, Skor PPH, Sasaran PPH, Proyeksi Konsumsi dan Kebutuhan Pangan wilayah berdasarkan pendekatan PPH.</t>
  </si>
  <si>
    <t>Rata-Rata Konsumsi Per Kapita/Minggu</t>
  </si>
  <si>
    <t>Konsumsi Protein Per Hari</t>
  </si>
  <si>
    <t>Kkal/Kapita</t>
  </si>
  <si>
    <t>Gram/Kapita</t>
  </si>
  <si>
    <t>Berat Pangan Gram/Kapita/Hari</t>
  </si>
  <si>
    <t xml:space="preserve"> Kkal/Kapita/Hari</t>
  </si>
  <si>
    <t xml:space="preserve"> Gram/Kapita/Hari</t>
  </si>
  <si>
    <t>Pendekatan Data Analisis Pola Pangan Harapan</t>
  </si>
  <si>
    <t xml:space="preserve">    Bir</t>
  </si>
  <si>
    <t xml:space="preserve">    Anggur</t>
  </si>
  <si>
    <t xml:space="preserve">    Minuman beralkohol lainnya :</t>
  </si>
  <si>
    <t>BADAN KETAHANAN PANGAN</t>
  </si>
  <si>
    <t>KEMENTERIAN PERTANIAN</t>
  </si>
  <si>
    <t>4.  Ir. Yuliva</t>
  </si>
  <si>
    <t>7.  Akber Maulad, S.Gz</t>
  </si>
  <si>
    <t/>
  </si>
  <si>
    <t>justifikasi</t>
  </si>
  <si>
    <t>Badan Ketahanan Pangan dan penyuluhan</t>
  </si>
  <si>
    <t>Jl h agus salim painan</t>
  </si>
  <si>
    <t>TAHUN 2015</t>
  </si>
  <si>
    <t xml:space="preserve">    Teh Celup</t>
  </si>
  <si>
    <t>2gr</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</si>
</sst>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1" formatCode="_(* #,##0_);_(* \(#,##0\);_(* &quot;-&quot;_);_(@_)"/>
    <numFmt numFmtId="43" formatCode="_(* #,##0.00_);_(* \(#,##0.00\);_(* &quot;-&quot;??_);_(@_)"/>
    <numFmt numFmtId="164" formatCode="0.0"/>
    <numFmt numFmtId="165" formatCode="#,##0.0"/>
    <numFmt numFmtId="166" formatCode="0.000"/>
    <numFmt numFmtId="167" formatCode="#,##0.0_);[Red]\(#,##0.0\)"/>
    <numFmt numFmtId="168" formatCode="_(* #,##0.0_);_(* \(#,##0.0\);_(* &quot;-&quot;_);_(@_)"/>
    <numFmt numFmtId="169" formatCode="0.0000"/>
    <numFmt numFmtId="170" formatCode="_(* #,##0.00000000_);_(* \(#,##0.00000000\);_(* &quot;-&quot;_);_(@_)"/>
    <numFmt numFmtId="171" formatCode="_(* #,##0.00000000_);_(* \(#,##0.00000000\);_(* &quot;-&quot;????????_);_(@_)"/>
    <numFmt numFmtId="172" formatCode="_(* #,##0.0_);_(* \(#,##0.0\);_(* &quot;-&quot;?_);_(@_)"/>
    <numFmt numFmtId="173" formatCode="_(* #,##0.00_);_(* \(#,##0.00\);_(* &quot;-&quot;_);_(@_)"/>
  </numFmts>
  <fonts count="34" x14ac:knownFonts="1">
    <font>
      <sz val="10"/>
      <name val="Arial"/>
    </font>
    <font>
      <sz val="10"/>
      <name val="Arial"/>
      <family val="2"/>
    </font>
    <font>
      <sz val="13"/>
      <color indexed="10"/>
      <name val="Arial"/>
      <family val="2"/>
    </font>
    <font>
      <sz val="20"/>
      <color indexed="10"/>
      <name val="Arial"/>
      <family val="2"/>
    </font>
    <font>
      <u/>
      <sz val="10"/>
      <color indexed="12"/>
      <name val="Arial"/>
      <family val="2"/>
    </font>
    <font>
      <sz val="9"/>
      <name val="Tahoma"/>
      <family val="2"/>
    </font>
    <font>
      <b/>
      <sz val="9"/>
      <name val="Tahoma"/>
      <family val="2"/>
    </font>
    <font>
      <sz val="16"/>
      <color indexed="57"/>
      <name val="Arial"/>
      <family val="2"/>
    </font>
    <font>
      <sz val="20"/>
      <color indexed="12"/>
      <name val="Arial"/>
      <family val="2"/>
    </font>
    <font>
      <sz val="10"/>
      <name val="Arial"/>
      <family val="2"/>
    </font>
    <font>
      <b/>
      <sz val="10"/>
      <name val="Tahoma"/>
      <family val="2"/>
    </font>
    <font>
      <sz val="10"/>
      <name val="Tahoma"/>
      <family val="2"/>
    </font>
    <font>
      <sz val="20"/>
      <color indexed="20"/>
      <name val="Arial"/>
      <family val="2"/>
    </font>
    <font>
      <sz val="11"/>
      <color theme="1"/>
      <name val="Calibri"/>
      <family val="2"/>
      <scheme val="minor"/>
    </font>
    <font>
      <sz val="10"/>
      <color rgb="FF000000"/>
      <name val="Tahoma"/>
      <family val="2"/>
    </font>
    <font>
      <u/>
      <sz val="10"/>
      <color indexed="17"/>
      <name val="Tahoma"/>
      <family val="2"/>
    </font>
    <font>
      <u/>
      <sz val="10"/>
      <color indexed="12"/>
      <name val="Tahoma"/>
      <family val="2"/>
    </font>
    <font>
      <i/>
      <sz val="10"/>
      <name val="Tahoma"/>
      <family val="2"/>
    </font>
    <font>
      <b/>
      <sz val="10"/>
      <color indexed="10"/>
      <name val="Tahoma"/>
      <family val="2"/>
    </font>
    <font>
      <u/>
      <sz val="9"/>
      <color indexed="17"/>
      <name val="Tahoma"/>
      <family val="2"/>
    </font>
    <font>
      <b/>
      <sz val="9"/>
      <color indexed="10"/>
      <name val="Tahoma"/>
      <family val="2"/>
    </font>
    <font>
      <sz val="9"/>
      <color indexed="9"/>
      <name val="Tahoma"/>
      <family val="2"/>
    </font>
    <font>
      <b/>
      <sz val="9"/>
      <color indexed="9"/>
      <name val="Tahoma"/>
      <family val="2"/>
    </font>
    <font>
      <b/>
      <i/>
      <sz val="10"/>
      <color indexed="10"/>
      <name val="Tahoma"/>
      <family val="2"/>
    </font>
    <font>
      <sz val="10"/>
      <color indexed="13"/>
      <name val="Tahoma"/>
      <family val="2"/>
    </font>
    <font>
      <sz val="10"/>
      <color indexed="12"/>
      <name val="Tahoma"/>
      <family val="2"/>
    </font>
    <font>
      <sz val="10"/>
      <color indexed="10"/>
      <name val="Tahoma"/>
      <family val="2"/>
    </font>
    <font>
      <b/>
      <sz val="10"/>
      <color indexed="12"/>
      <name val="Tahoma"/>
      <family val="2"/>
    </font>
    <font>
      <b/>
      <i/>
      <sz val="10"/>
      <name val="Tahoma"/>
      <family val="2"/>
    </font>
    <font>
      <sz val="10"/>
      <color rgb="FFFF0000"/>
      <name val="Tahoma"/>
      <family val="2"/>
    </font>
    <font>
      <b/>
      <sz val="10"/>
      <color rgb="FFFF0000"/>
      <name val="Tahoma"/>
      <family val="2"/>
    </font>
    <font>
      <i/>
      <sz val="9"/>
      <name val="Tahoma"/>
      <family val="2"/>
    </font>
    <font>
      <sz val="30"/>
      <color indexed="57"/>
      <name val="Arial"/>
      <family val="2"/>
    </font>
    <font>
      <b/>
      <sz val="16"/>
      <color rgb="FFFF0000"/>
      <name val="Arial"/>
      <family val="2"/>
    </font>
  </fonts>
  <fills count="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rgb="FFCCFFFF"/>
        <bgColor indexed="64"/>
      </patternFill>
    </fill>
    <fill>
      <patternFill patternType="solid">
        <fgColor rgb="FFFFFF00"/>
        <bgColor indexed="64"/>
      </patternFill>
    </fill>
  </fills>
  <borders count="16">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41" fontId="1" fillId="0" borderId="0" applyFont="0" applyFill="0" applyBorder="0" applyAlignment="0" applyProtection="0"/>
    <xf numFmtId="0" fontId="4" fillId="0" borderId="0" applyNumberFormat="0" applyFill="0" applyBorder="0" applyAlignment="0" applyProtection="0">
      <alignment vertical="top"/>
      <protection locked="0"/>
    </xf>
    <xf numFmtId="0" fontId="9" fillId="0" borderId="0" applyNumberFormat="0" applyFill="0" applyBorder="0" applyAlignment="0" applyProtection="0"/>
    <xf numFmtId="43" fontId="13" fillId="0" borderId="0" applyFont="0" applyFill="0" applyBorder="0" applyAlignment="0" applyProtection="0"/>
  </cellStyleXfs>
  <cellXfs count="410">
    <xf numFmtId="0" fontId="0" fillId="0" borderId="0" xfId="0"/>
    <xf numFmtId="0" fontId="0" fillId="2" borderId="0" xfId="0" applyFill="1" applyBorder="1" applyAlignment="1"/>
    <xf numFmtId="0" fontId="0" fillId="2" borderId="0" xfId="0" applyFill="1"/>
    <xf numFmtId="0" fontId="0" fillId="2" borderId="0" xfId="0" applyFill="1" applyAlignment="1">
      <alignment horizontal="center"/>
    </xf>
    <xf numFmtId="0" fontId="5" fillId="2" borderId="0" xfId="0" applyFont="1" applyFill="1"/>
    <xf numFmtId="0" fontId="5" fillId="2" borderId="0" xfId="0" applyFont="1" applyFill="1" applyBorder="1"/>
    <xf numFmtId="0" fontId="2" fillId="2" borderId="0" xfId="0" applyFont="1" applyFill="1" applyBorder="1" applyAlignment="1">
      <alignment horizontal="center"/>
    </xf>
    <xf numFmtId="0" fontId="10" fillId="2" borderId="0" xfId="0" applyFont="1" applyFill="1" applyAlignment="1">
      <alignment horizontal="left"/>
    </xf>
    <xf numFmtId="168" fontId="11" fillId="2" borderId="0" xfId="0" applyNumberFormat="1" applyFont="1" applyFill="1"/>
    <xf numFmtId="0" fontId="11" fillId="2" borderId="0" xfId="0" applyFont="1" applyFill="1"/>
    <xf numFmtId="0" fontId="10" fillId="2" borderId="0" xfId="0" applyFont="1" applyFill="1" applyAlignment="1">
      <alignment horizontal="right"/>
    </xf>
    <xf numFmtId="168" fontId="11" fillId="2" borderId="0" xfId="0" applyNumberFormat="1" applyFont="1" applyFill="1" applyBorder="1"/>
    <xf numFmtId="0" fontId="11" fillId="2" borderId="0" xfId="0" applyFont="1" applyFill="1" applyBorder="1"/>
    <xf numFmtId="0" fontId="11" fillId="0" borderId="3" xfId="0" applyFont="1" applyBorder="1" applyAlignment="1">
      <alignment horizontal="center" vertical="center"/>
    </xf>
    <xf numFmtId="0" fontId="11" fillId="0" borderId="3" xfId="0" applyFont="1" applyBorder="1" applyAlignment="1">
      <alignment horizontal="left" vertical="center"/>
    </xf>
    <xf numFmtId="169" fontId="14" fillId="0" borderId="3" xfId="0" applyNumberFormat="1" applyFont="1" applyBorder="1" applyAlignment="1">
      <alignment horizontal="center" vertical="center"/>
    </xf>
    <xf numFmtId="0" fontId="11" fillId="2" borderId="0" xfId="0" applyFont="1" applyFill="1" applyAlignment="1">
      <alignment vertical="center"/>
    </xf>
    <xf numFmtId="0" fontId="10" fillId="2" borderId="0" xfId="0" applyFont="1" applyFill="1" applyAlignment="1">
      <alignment vertical="center"/>
    </xf>
    <xf numFmtId="0" fontId="10" fillId="2" borderId="0" xfId="0" applyFont="1" applyFill="1" applyAlignment="1">
      <alignment horizontal="left" vertical="center"/>
    </xf>
    <xf numFmtId="0" fontId="10" fillId="2" borderId="0" xfId="0" applyFont="1" applyFill="1" applyBorder="1" applyAlignment="1">
      <alignment horizontal="left"/>
    </xf>
    <xf numFmtId="1" fontId="10" fillId="3" borderId="3" xfId="0" applyNumberFormat="1" applyFont="1" applyFill="1" applyBorder="1" applyAlignment="1">
      <alignment horizontal="right" vertical="center" wrapText="1"/>
    </xf>
    <xf numFmtId="169" fontId="11" fillId="2" borderId="0" xfId="0" applyNumberFormat="1" applyFont="1" applyFill="1" applyAlignment="1">
      <alignment vertical="center"/>
    </xf>
    <xf numFmtId="0" fontId="11" fillId="2" borderId="0" xfId="0" applyFont="1" applyFill="1" applyAlignment="1">
      <alignment horizontal="center" vertical="center"/>
    </xf>
    <xf numFmtId="0" fontId="16" fillId="2" borderId="0" xfId="3" applyFont="1" applyFill="1" applyAlignment="1" applyProtection="1">
      <alignment horizontal="left" vertical="center"/>
    </xf>
    <xf numFmtId="0" fontId="11" fillId="2" borderId="0" xfId="0" applyFont="1" applyFill="1" applyBorder="1" applyAlignment="1">
      <alignment vertical="center"/>
    </xf>
    <xf numFmtId="0" fontId="15" fillId="2" borderId="0" xfId="3" applyFont="1" applyFill="1" applyAlignment="1" applyProtection="1">
      <alignment horizontal="left" vertical="center"/>
    </xf>
    <xf numFmtId="0" fontId="10" fillId="2" borderId="0" xfId="0" applyFont="1" applyFill="1" applyAlignment="1">
      <alignment horizontal="right" vertical="center"/>
    </xf>
    <xf numFmtId="0" fontId="10" fillId="2" borderId="0" xfId="0" applyFont="1" applyFill="1" applyBorder="1" applyAlignment="1">
      <alignment horizontal="right" vertical="center"/>
    </xf>
    <xf numFmtId="0" fontId="10" fillId="2" borderId="0" xfId="0" applyFont="1" applyFill="1" applyBorder="1" applyAlignment="1">
      <alignment horizontal="center" vertical="center"/>
    </xf>
    <xf numFmtId="0" fontId="10" fillId="2" borderId="0" xfId="0" applyFont="1" applyFill="1" applyBorder="1" applyAlignment="1">
      <alignment horizontal="left" vertical="center"/>
    </xf>
    <xf numFmtId="1" fontId="10" fillId="2" borderId="0" xfId="0" applyNumberFormat="1" applyFont="1" applyFill="1" applyBorder="1" applyAlignment="1">
      <alignment horizontal="right" vertical="center"/>
    </xf>
    <xf numFmtId="0" fontId="10" fillId="3" borderId="11" xfId="0" applyFont="1" applyFill="1" applyBorder="1" applyAlignment="1">
      <alignment horizontal="right" vertical="center"/>
    </xf>
    <xf numFmtId="1" fontId="10" fillId="2" borderId="0" xfId="0" applyNumberFormat="1" applyFont="1" applyFill="1" applyBorder="1" applyAlignment="1">
      <alignment horizontal="left" vertical="center"/>
    </xf>
    <xf numFmtId="0" fontId="10" fillId="3" borderId="5" xfId="0" applyFont="1" applyFill="1" applyBorder="1" applyAlignment="1">
      <alignment horizontal="right" vertical="center"/>
    </xf>
    <xf numFmtId="1" fontId="10" fillId="3" borderId="2" xfId="0" applyNumberFormat="1" applyFont="1" applyFill="1" applyBorder="1" applyAlignment="1">
      <alignment horizontal="right" vertical="center"/>
    </xf>
    <xf numFmtId="1" fontId="10" fillId="3" borderId="3" xfId="0" applyNumberFormat="1" applyFont="1" applyFill="1" applyBorder="1" applyAlignment="1">
      <alignment horizontal="right" vertical="center"/>
    </xf>
    <xf numFmtId="1" fontId="10" fillId="3" borderId="7" xfId="0" applyNumberFormat="1" applyFont="1" applyFill="1" applyBorder="1" applyAlignment="1">
      <alignment horizontal="right" vertical="center"/>
    </xf>
    <xf numFmtId="0" fontId="11" fillId="2" borderId="3" xfId="0" applyFont="1" applyFill="1" applyBorder="1" applyAlignment="1">
      <alignment vertical="center"/>
    </xf>
    <xf numFmtId="1" fontId="10" fillId="2" borderId="15" xfId="0" applyNumberFormat="1" applyFont="1" applyFill="1" applyBorder="1" applyAlignment="1">
      <alignment horizontal="left" vertical="center"/>
    </xf>
    <xf numFmtId="165" fontId="10" fillId="2" borderId="0" xfId="0" applyNumberFormat="1" applyFont="1" applyFill="1" applyBorder="1" applyAlignment="1">
      <alignment horizontal="center" vertical="center"/>
    </xf>
    <xf numFmtId="165" fontId="11" fillId="2" borderId="0" xfId="0" applyNumberFormat="1" applyFont="1" applyFill="1" applyBorder="1" applyAlignment="1">
      <alignment vertical="center"/>
    </xf>
    <xf numFmtId="1" fontId="11" fillId="2" borderId="3" xfId="0" applyNumberFormat="1" applyFont="1" applyFill="1" applyBorder="1" applyAlignment="1">
      <alignment horizontal="center" vertical="center"/>
    </xf>
    <xf numFmtId="0" fontId="11" fillId="2" borderId="2" xfId="0" applyFont="1" applyFill="1" applyBorder="1" applyAlignment="1">
      <alignment horizontal="left" vertical="center"/>
    </xf>
    <xf numFmtId="165" fontId="11" fillId="0" borderId="3" xfId="0" applyNumberFormat="1" applyFont="1" applyBorder="1" applyAlignment="1">
      <alignment vertical="center"/>
    </xf>
    <xf numFmtId="165" fontId="11" fillId="2" borderId="3" xfId="0" applyNumberFormat="1" applyFont="1" applyFill="1" applyBorder="1" applyAlignment="1">
      <alignment vertical="center"/>
    </xf>
    <xf numFmtId="167" fontId="11" fillId="2" borderId="0" xfId="0" applyNumberFormat="1" applyFont="1" applyFill="1" applyBorder="1" applyAlignment="1">
      <alignment vertical="center"/>
    </xf>
    <xf numFmtId="3" fontId="11" fillId="0" borderId="3" xfId="0" applyNumberFormat="1" applyFont="1" applyBorder="1" applyAlignment="1">
      <alignment vertical="center"/>
    </xf>
    <xf numFmtId="3" fontId="11" fillId="2" borderId="3" xfId="0" applyNumberFormat="1" applyFont="1" applyFill="1" applyBorder="1" applyAlignment="1">
      <alignment vertical="center"/>
    </xf>
    <xf numFmtId="3" fontId="11" fillId="2" borderId="3" xfId="0" applyNumberFormat="1" applyFont="1" applyFill="1" applyBorder="1" applyAlignment="1">
      <alignment horizontal="right" vertical="center"/>
    </xf>
    <xf numFmtId="0" fontId="11" fillId="0" borderId="3" xfId="0" applyFont="1" applyBorder="1" applyAlignment="1">
      <alignment vertical="center"/>
    </xf>
    <xf numFmtId="0" fontId="10" fillId="0" borderId="3" xfId="0" applyFont="1" applyBorder="1" applyAlignment="1">
      <alignment vertical="center"/>
    </xf>
    <xf numFmtId="165" fontId="11" fillId="2" borderId="15" xfId="0" applyNumberFormat="1" applyFont="1" applyFill="1" applyBorder="1" applyAlignment="1">
      <alignment vertical="center"/>
    </xf>
    <xf numFmtId="165" fontId="11" fillId="2" borderId="10" xfId="0" applyNumberFormat="1" applyFont="1" applyFill="1" applyBorder="1" applyAlignment="1">
      <alignment vertical="center"/>
    </xf>
    <xf numFmtId="165" fontId="11" fillId="2" borderId="9" xfId="0" applyNumberFormat="1" applyFont="1" applyFill="1" applyBorder="1" applyAlignment="1">
      <alignment vertical="center"/>
    </xf>
    <xf numFmtId="3" fontId="11" fillId="2" borderId="15" xfId="0" applyNumberFormat="1" applyFont="1" applyFill="1" applyBorder="1" applyAlignment="1">
      <alignment vertical="center"/>
    </xf>
    <xf numFmtId="3" fontId="11" fillId="2" borderId="10" xfId="0" applyNumberFormat="1" applyFont="1" applyFill="1" applyBorder="1" applyAlignment="1">
      <alignment vertical="center"/>
    </xf>
    <xf numFmtId="3" fontId="11" fillId="2" borderId="9" xfId="0" applyNumberFormat="1" applyFont="1" applyFill="1" applyBorder="1" applyAlignment="1">
      <alignment vertical="center"/>
    </xf>
    <xf numFmtId="0" fontId="10" fillId="2" borderId="3" xfId="0" applyFont="1" applyFill="1" applyBorder="1" applyAlignment="1">
      <alignment vertical="center"/>
    </xf>
    <xf numFmtId="165" fontId="10" fillId="2" borderId="15" xfId="0" applyNumberFormat="1" applyFont="1" applyFill="1" applyBorder="1" applyAlignment="1">
      <alignment vertical="center"/>
    </xf>
    <xf numFmtId="165" fontId="10" fillId="2" borderId="10" xfId="0" applyNumberFormat="1" applyFont="1" applyFill="1" applyBorder="1" applyAlignment="1">
      <alignment vertical="center"/>
    </xf>
    <xf numFmtId="165" fontId="10" fillId="2" borderId="9" xfId="0" applyNumberFormat="1" applyFont="1" applyFill="1" applyBorder="1" applyAlignment="1">
      <alignment vertical="center"/>
    </xf>
    <xf numFmtId="165" fontId="10" fillId="2" borderId="0" xfId="0" applyNumberFormat="1" applyFont="1" applyFill="1" applyBorder="1" applyAlignment="1">
      <alignment vertical="center"/>
    </xf>
    <xf numFmtId="167" fontId="10" fillId="2" borderId="0" xfId="0" applyNumberFormat="1" applyFont="1" applyFill="1" applyBorder="1" applyAlignment="1">
      <alignment vertical="center"/>
    </xf>
    <xf numFmtId="3" fontId="10" fillId="2" borderId="15" xfId="0" applyNumberFormat="1" applyFont="1" applyFill="1" applyBorder="1" applyAlignment="1">
      <alignment vertical="center"/>
    </xf>
    <xf numFmtId="3" fontId="10" fillId="2" borderId="10" xfId="0" applyNumberFormat="1" applyFont="1" applyFill="1" applyBorder="1" applyAlignment="1">
      <alignment vertical="center"/>
    </xf>
    <xf numFmtId="3" fontId="10" fillId="2" borderId="9" xfId="0" applyNumberFormat="1" applyFont="1" applyFill="1" applyBorder="1" applyAlignment="1">
      <alignment vertical="center"/>
    </xf>
    <xf numFmtId="0" fontId="17" fillId="2" borderId="0" xfId="0" applyFont="1" applyFill="1" applyAlignment="1">
      <alignment vertical="center"/>
    </xf>
    <xf numFmtId="0" fontId="11" fillId="2" borderId="0" xfId="0" quotePrefix="1" applyFont="1" applyFill="1" applyAlignment="1">
      <alignment horizontal="left" vertical="center"/>
    </xf>
    <xf numFmtId="4" fontId="11" fillId="2" borderId="3" xfId="0" applyNumberFormat="1" applyFont="1" applyFill="1" applyBorder="1" applyAlignment="1">
      <alignment horizontal="right" vertical="center"/>
    </xf>
    <xf numFmtId="0" fontId="11" fillId="2" borderId="0" xfId="0" applyFont="1" applyFill="1" applyAlignment="1">
      <alignment horizontal="left" vertical="center"/>
    </xf>
    <xf numFmtId="0" fontId="10" fillId="2" borderId="3" xfId="0" applyFont="1" applyFill="1" applyBorder="1" applyAlignment="1">
      <alignment horizontal="right" vertical="center"/>
    </xf>
    <xf numFmtId="0" fontId="10" fillId="2" borderId="0" xfId="0" quotePrefix="1" applyFont="1" applyFill="1" applyAlignment="1">
      <alignment vertical="center"/>
    </xf>
    <xf numFmtId="0" fontId="18" fillId="2" borderId="0" xfId="0" applyFont="1" applyFill="1" applyBorder="1" applyAlignment="1">
      <alignment horizontal="center" vertical="center"/>
    </xf>
    <xf numFmtId="0" fontId="10" fillId="3" borderId="4" xfId="0" applyFont="1" applyFill="1" applyBorder="1" applyAlignment="1">
      <alignment horizontal="right" vertical="center"/>
    </xf>
    <xf numFmtId="1" fontId="10" fillId="3" borderId="13" xfId="0" applyNumberFormat="1" applyFont="1" applyFill="1" applyBorder="1" applyAlignment="1">
      <alignment horizontal="right" vertical="center"/>
    </xf>
    <xf numFmtId="165" fontId="11" fillId="2" borderId="2" xfId="0" applyNumberFormat="1" applyFont="1" applyFill="1" applyBorder="1" applyAlignment="1" applyProtection="1">
      <alignment vertical="center"/>
      <protection locked="0"/>
    </xf>
    <xf numFmtId="164" fontId="11" fillId="2" borderId="3" xfId="0" applyNumberFormat="1" applyFont="1" applyFill="1" applyBorder="1" applyAlignment="1">
      <alignment horizontal="right" vertical="center"/>
    </xf>
    <xf numFmtId="165" fontId="11" fillId="2" borderId="2" xfId="0" applyNumberFormat="1" applyFont="1" applyFill="1" applyBorder="1" applyAlignment="1">
      <alignment vertical="center"/>
    </xf>
    <xf numFmtId="2" fontId="11" fillId="2" borderId="3" xfId="0" applyNumberFormat="1" applyFont="1" applyFill="1" applyBorder="1" applyAlignment="1">
      <alignment horizontal="right" vertical="center"/>
    </xf>
    <xf numFmtId="165" fontId="11" fillId="2" borderId="3" xfId="0" applyNumberFormat="1" applyFont="1" applyFill="1" applyBorder="1" applyAlignment="1" applyProtection="1">
      <alignment vertical="center"/>
      <protection locked="0"/>
    </xf>
    <xf numFmtId="164" fontId="11" fillId="2" borderId="3" xfId="0" applyNumberFormat="1" applyFont="1" applyFill="1" applyBorder="1" applyAlignment="1">
      <alignment vertical="center"/>
    </xf>
    <xf numFmtId="165" fontId="10" fillId="2" borderId="10" xfId="0" applyNumberFormat="1" applyFont="1" applyFill="1" applyBorder="1" applyAlignment="1">
      <alignment horizontal="left" vertical="center"/>
    </xf>
    <xf numFmtId="164" fontId="11" fillId="2" borderId="10" xfId="0" applyNumberFormat="1" applyFont="1" applyFill="1" applyBorder="1" applyAlignment="1">
      <alignment horizontal="left" vertical="center"/>
    </xf>
    <xf numFmtId="2" fontId="11" fillId="2" borderId="15" xfId="0" applyNumberFormat="1" applyFont="1" applyFill="1" applyBorder="1" applyAlignment="1">
      <alignment horizontal="left" vertical="center"/>
    </xf>
    <xf numFmtId="2" fontId="11" fillId="2" borderId="15" xfId="0" applyNumberFormat="1" applyFont="1" applyFill="1" applyBorder="1" applyAlignment="1">
      <alignment vertical="center"/>
    </xf>
    <xf numFmtId="2" fontId="11" fillId="2" borderId="10" xfId="0" applyNumberFormat="1" applyFont="1" applyFill="1" applyBorder="1" applyAlignment="1">
      <alignment vertical="center"/>
    </xf>
    <xf numFmtId="2" fontId="11" fillId="2" borderId="9" xfId="0" applyNumberFormat="1" applyFont="1" applyFill="1" applyBorder="1" applyAlignment="1">
      <alignment vertical="center"/>
    </xf>
    <xf numFmtId="164" fontId="10" fillId="2" borderId="10" xfId="0" applyNumberFormat="1" applyFont="1" applyFill="1" applyBorder="1" applyAlignment="1">
      <alignment horizontal="left" vertical="center"/>
    </xf>
    <xf numFmtId="2" fontId="10" fillId="2" borderId="15" xfId="0" applyNumberFormat="1" applyFont="1" applyFill="1" applyBorder="1" applyAlignment="1">
      <alignment horizontal="left" vertical="center"/>
    </xf>
    <xf numFmtId="2" fontId="10" fillId="2" borderId="15" xfId="0" applyNumberFormat="1" applyFont="1" applyFill="1" applyBorder="1" applyAlignment="1">
      <alignment vertical="center"/>
    </xf>
    <xf numFmtId="2" fontId="10" fillId="2" borderId="10" xfId="0" applyNumberFormat="1" applyFont="1" applyFill="1" applyBorder="1" applyAlignment="1">
      <alignment vertical="center"/>
    </xf>
    <xf numFmtId="2" fontId="10" fillId="2" borderId="9" xfId="0" applyNumberFormat="1" applyFont="1" applyFill="1" applyBorder="1" applyAlignment="1">
      <alignment vertical="center"/>
    </xf>
    <xf numFmtId="0" fontId="5" fillId="2" borderId="0" xfId="0" applyFont="1" applyFill="1" applyAlignment="1">
      <alignment vertical="center"/>
    </xf>
    <xf numFmtId="0" fontId="6" fillId="2" borderId="0" xfId="0" applyFont="1" applyFill="1" applyBorder="1" applyAlignment="1">
      <alignment horizontal="left"/>
    </xf>
    <xf numFmtId="1" fontId="5" fillId="3" borderId="3" xfId="0" applyNumberFormat="1" applyFont="1" applyFill="1" applyBorder="1" applyAlignment="1">
      <alignment horizontal="right" vertical="center" wrapText="1"/>
    </xf>
    <xf numFmtId="1" fontId="20" fillId="3" borderId="3" xfId="0" applyNumberFormat="1" applyFont="1" applyFill="1" applyBorder="1" applyAlignment="1">
      <alignment horizontal="right" vertical="center" wrapText="1"/>
    </xf>
    <xf numFmtId="0" fontId="5" fillId="2" borderId="3" xfId="0" applyFont="1" applyFill="1" applyBorder="1" applyAlignment="1">
      <alignment horizontal="center"/>
    </xf>
    <xf numFmtId="0" fontId="5" fillId="2" borderId="3" xfId="0" applyFont="1" applyFill="1" applyBorder="1"/>
    <xf numFmtId="165" fontId="5" fillId="2" borderId="3" xfId="0" applyNumberFormat="1" applyFont="1" applyFill="1" applyBorder="1" applyAlignment="1">
      <alignment horizontal="right"/>
    </xf>
    <xf numFmtId="165" fontId="5" fillId="2" borderId="3" xfId="0" applyNumberFormat="1" applyFont="1" applyFill="1" applyBorder="1"/>
    <xf numFmtId="0" fontId="5" fillId="2" borderId="2" xfId="0" applyFont="1" applyFill="1" applyBorder="1" applyAlignment="1">
      <alignment horizontal="center"/>
    </xf>
    <xf numFmtId="164" fontId="5" fillId="2" borderId="3" xfId="0" applyNumberFormat="1" applyFont="1" applyFill="1" applyBorder="1"/>
    <xf numFmtId="1" fontId="5" fillId="2" borderId="3" xfId="0" applyNumberFormat="1" applyFont="1" applyFill="1" applyBorder="1"/>
    <xf numFmtId="0" fontId="5" fillId="2" borderId="0" xfId="0" applyFont="1" applyFill="1" applyBorder="1" applyAlignment="1">
      <alignment horizontal="center"/>
    </xf>
    <xf numFmtId="165" fontId="5" fillId="2" borderId="0" xfId="0" applyNumberFormat="1" applyFont="1" applyFill="1" applyBorder="1" applyAlignment="1">
      <alignment horizontal="right"/>
    </xf>
    <xf numFmtId="165" fontId="5" fillId="2" borderId="0" xfId="0" applyNumberFormat="1" applyFont="1" applyFill="1" applyBorder="1"/>
    <xf numFmtId="0" fontId="6" fillId="2" borderId="0" xfId="0" applyFont="1" applyFill="1" applyBorder="1"/>
    <xf numFmtId="165" fontId="21" fillId="2" borderId="0" xfId="0" applyNumberFormat="1" applyFont="1" applyFill="1" applyBorder="1" applyAlignment="1">
      <alignment horizontal="right"/>
    </xf>
    <xf numFmtId="165" fontId="21" fillId="2" borderId="0" xfId="0" applyNumberFormat="1" applyFont="1" applyFill="1" applyBorder="1"/>
    <xf numFmtId="165" fontId="22" fillId="2" borderId="0" xfId="0" applyNumberFormat="1" applyFont="1" applyFill="1" applyBorder="1" applyAlignment="1">
      <alignment horizontal="right"/>
    </xf>
    <xf numFmtId="0" fontId="5" fillId="2" borderId="0" xfId="0" applyFont="1" applyFill="1" applyAlignment="1">
      <alignment horizontal="center" vertical="center"/>
    </xf>
    <xf numFmtId="0" fontId="24" fillId="2" borderId="0" xfId="0" applyFont="1" applyFill="1" applyBorder="1" applyAlignment="1">
      <alignment horizontal="center"/>
    </xf>
    <xf numFmtId="0" fontId="11" fillId="2" borderId="0" xfId="0" applyFont="1" applyFill="1" applyBorder="1" applyAlignment="1"/>
    <xf numFmtId="0" fontId="10" fillId="2" borderId="0" xfId="0" applyFont="1" applyFill="1" applyBorder="1" applyAlignment="1"/>
    <xf numFmtId="0" fontId="11" fillId="2" borderId="0" xfId="0" applyFont="1" applyFill="1" applyAlignment="1"/>
    <xf numFmtId="0" fontId="25" fillId="2" borderId="0" xfId="0" quotePrefix="1" applyFont="1" applyFill="1" applyAlignment="1">
      <alignment horizontal="left"/>
    </xf>
    <xf numFmtId="0" fontId="26" fillId="2" borderId="0" xfId="0" applyFont="1" applyFill="1" applyBorder="1" applyAlignment="1">
      <alignment horizontal="left"/>
    </xf>
    <xf numFmtId="0" fontId="25" fillId="2" borderId="0" xfId="0" applyFont="1" applyFill="1" applyBorder="1" applyAlignment="1">
      <alignment horizontal="left"/>
    </xf>
    <xf numFmtId="0" fontId="25" fillId="2" borderId="0" xfId="0" quotePrefix="1" applyFont="1" applyFill="1" applyBorder="1" applyAlignment="1">
      <alignment horizontal="left"/>
    </xf>
    <xf numFmtId="0" fontId="11" fillId="2" borderId="0" xfId="0" applyFont="1" applyFill="1" applyBorder="1" applyAlignment="1">
      <alignment horizontal="left"/>
    </xf>
    <xf numFmtId="0" fontId="25" fillId="2" borderId="0" xfId="0" applyFont="1" applyFill="1" applyBorder="1" applyAlignment="1">
      <alignment horizontal="justify" vertical="justify" wrapText="1"/>
    </xf>
    <xf numFmtId="0" fontId="16" fillId="2" borderId="0" xfId="3" applyFont="1" applyFill="1" applyAlignment="1" applyProtection="1"/>
    <xf numFmtId="0" fontId="18" fillId="2" borderId="0" xfId="0" applyFont="1" applyFill="1" applyBorder="1" applyAlignment="1">
      <alignment horizontal="left" vertical="center"/>
    </xf>
    <xf numFmtId="0" fontId="18" fillId="2" borderId="0" xfId="0" applyFont="1" applyFill="1" applyBorder="1" applyAlignment="1">
      <alignment horizontal="right" vertical="center"/>
    </xf>
    <xf numFmtId="0" fontId="11" fillId="2" borderId="0" xfId="0" applyFont="1" applyFill="1" applyBorder="1" applyAlignment="1">
      <alignment horizontal="center" vertical="center"/>
    </xf>
    <xf numFmtId="0" fontId="11" fillId="2" borderId="0" xfId="0" applyFont="1" applyFill="1" applyBorder="1" applyAlignment="1">
      <alignment horizontal="left" vertical="center"/>
    </xf>
    <xf numFmtId="0" fontId="27" fillId="2" borderId="0" xfId="0" applyFont="1" applyFill="1" applyBorder="1" applyAlignment="1">
      <alignment horizontal="left" vertical="center"/>
    </xf>
    <xf numFmtId="0" fontId="11" fillId="2" borderId="0" xfId="0" applyFont="1" applyFill="1" applyBorder="1" applyAlignment="1">
      <alignment horizontal="right" vertical="center"/>
    </xf>
    <xf numFmtId="0" fontId="15" fillId="2" borderId="0" xfId="3" applyFont="1" applyFill="1" applyAlignment="1" applyProtection="1">
      <alignment horizontal="left"/>
    </xf>
    <xf numFmtId="168" fontId="16" fillId="2" borderId="0" xfId="3" applyNumberFormat="1" applyFont="1" applyFill="1" applyAlignment="1" applyProtection="1">
      <alignment horizontal="left"/>
    </xf>
    <xf numFmtId="0" fontId="16" fillId="2" borderId="0" xfId="3" applyFont="1" applyFill="1" applyAlignment="1" applyProtection="1">
      <alignment horizontal="left"/>
    </xf>
    <xf numFmtId="168" fontId="11" fillId="2" borderId="0" xfId="0" applyNumberFormat="1" applyFont="1" applyFill="1" applyAlignment="1">
      <alignment vertical="center"/>
    </xf>
    <xf numFmtId="0" fontId="10" fillId="2" borderId="5" xfId="0" applyFont="1" applyFill="1" applyBorder="1" applyAlignment="1">
      <alignment horizontal="left"/>
    </xf>
    <xf numFmtId="168" fontId="10" fillId="2" borderId="11" xfId="0" applyNumberFormat="1" applyFont="1" applyFill="1" applyBorder="1" applyAlignment="1">
      <alignment horizontal="right" vertical="center" wrapText="1"/>
    </xf>
    <xf numFmtId="0" fontId="10" fillId="2" borderId="11" xfId="0" applyFont="1" applyFill="1" applyBorder="1" applyAlignment="1">
      <alignment horizontal="right" vertical="center" wrapText="1"/>
    </xf>
    <xf numFmtId="0" fontId="10" fillId="2" borderId="12" xfId="0" applyFont="1" applyFill="1" applyBorder="1" applyAlignment="1">
      <alignment horizontal="right" vertical="center" wrapText="1"/>
    </xf>
    <xf numFmtId="0" fontId="10" fillId="2" borderId="7" xfId="0" applyFont="1" applyFill="1" applyBorder="1" applyAlignment="1">
      <alignment vertical="center"/>
    </xf>
    <xf numFmtId="168" fontId="10" fillId="2" borderId="13" xfId="0" applyNumberFormat="1" applyFont="1" applyFill="1" applyBorder="1" applyAlignment="1">
      <alignment vertical="center"/>
    </xf>
    <xf numFmtId="0" fontId="10" fillId="2" borderId="13" xfId="0" applyFont="1" applyFill="1" applyBorder="1" applyAlignment="1">
      <alignment vertical="center"/>
    </xf>
    <xf numFmtId="0" fontId="10" fillId="2" borderId="8" xfId="0" applyFont="1" applyFill="1" applyBorder="1" applyAlignment="1">
      <alignment vertical="center"/>
    </xf>
    <xf numFmtId="1" fontId="11" fillId="0" borderId="2" xfId="0" applyNumberFormat="1" applyFont="1" applyBorder="1"/>
    <xf numFmtId="168" fontId="11" fillId="0" borderId="2" xfId="2" applyNumberFormat="1" applyFont="1" applyBorder="1"/>
    <xf numFmtId="168" fontId="11" fillId="4" borderId="2" xfId="2" applyNumberFormat="1" applyFont="1" applyFill="1" applyBorder="1"/>
    <xf numFmtId="1" fontId="11" fillId="0" borderId="2" xfId="0" applyNumberFormat="1" applyFont="1" applyBorder="1" applyAlignment="1">
      <alignment horizontal="right"/>
    </xf>
    <xf numFmtId="168" fontId="11" fillId="0" borderId="2" xfId="2" applyNumberFormat="1" applyFont="1" applyBorder="1" applyAlignment="1">
      <alignment horizontal="right"/>
    </xf>
    <xf numFmtId="1" fontId="11" fillId="2" borderId="8" xfId="0" applyNumberFormat="1" applyFont="1" applyFill="1" applyBorder="1"/>
    <xf numFmtId="2" fontId="11" fillId="0" borderId="2" xfId="0" applyNumberFormat="1" applyFont="1" applyBorder="1"/>
    <xf numFmtId="1" fontId="11" fillId="0" borderId="3" xfId="0" applyNumberFormat="1" applyFont="1" applyBorder="1"/>
    <xf numFmtId="168" fontId="11" fillId="0" borderId="3" xfId="2" applyNumberFormat="1" applyFont="1" applyBorder="1"/>
    <xf numFmtId="168" fontId="11" fillId="4" borderId="3" xfId="2" applyNumberFormat="1" applyFont="1" applyFill="1" applyBorder="1"/>
    <xf numFmtId="1" fontId="11" fillId="0" borderId="3" xfId="0" applyNumberFormat="1" applyFont="1" applyBorder="1" applyAlignment="1">
      <alignment horizontal="right"/>
    </xf>
    <xf numFmtId="1" fontId="11" fillId="2" borderId="9" xfId="0" applyNumberFormat="1" applyFont="1" applyFill="1" applyBorder="1"/>
    <xf numFmtId="2" fontId="11" fillId="0" borderId="3" xfId="0" applyNumberFormat="1" applyFont="1" applyBorder="1"/>
    <xf numFmtId="1" fontId="11" fillId="0" borderId="4" xfId="0" applyNumberFormat="1" applyFont="1" applyBorder="1"/>
    <xf numFmtId="168" fontId="11" fillId="0" borderId="4" xfId="2" applyNumberFormat="1" applyFont="1" applyBorder="1"/>
    <xf numFmtId="168" fontId="11" fillId="4" borderId="4" xfId="2" applyNumberFormat="1" applyFont="1" applyFill="1" applyBorder="1"/>
    <xf numFmtId="1" fontId="11" fillId="0" borderId="4" xfId="0" applyNumberFormat="1" applyFont="1" applyBorder="1" applyAlignment="1">
      <alignment horizontal="right"/>
    </xf>
    <xf numFmtId="1" fontId="11" fillId="2" borderId="12" xfId="0" applyNumberFormat="1" applyFont="1" applyFill="1" applyBorder="1"/>
    <xf numFmtId="2" fontId="11" fillId="0" borderId="4" xfId="0" applyNumberFormat="1" applyFont="1" applyBorder="1"/>
    <xf numFmtId="1" fontId="11" fillId="2" borderId="5" xfId="0" applyNumberFormat="1" applyFont="1" applyFill="1" applyBorder="1"/>
    <xf numFmtId="168" fontId="11" fillId="2" borderId="11" xfId="2" applyNumberFormat="1" applyFont="1" applyFill="1" applyBorder="1"/>
    <xf numFmtId="168" fontId="11" fillId="4" borderId="11" xfId="2" applyNumberFormat="1" applyFont="1" applyFill="1" applyBorder="1"/>
    <xf numFmtId="168" fontId="11" fillId="2" borderId="11" xfId="2" applyNumberFormat="1" applyFont="1" applyFill="1" applyBorder="1" applyAlignment="1">
      <alignment horizontal="right"/>
    </xf>
    <xf numFmtId="41" fontId="11" fillId="2" borderId="11" xfId="2" applyNumberFormat="1" applyFont="1" applyFill="1" applyBorder="1" applyAlignment="1">
      <alignment horizontal="right"/>
    </xf>
    <xf numFmtId="168" fontId="11" fillId="2" borderId="12" xfId="2" applyNumberFormat="1" applyFont="1" applyFill="1" applyBorder="1" applyAlignment="1">
      <alignment horizontal="right"/>
    </xf>
    <xf numFmtId="1" fontId="11" fillId="2" borderId="11" xfId="0" applyNumberFormat="1" applyFont="1" applyFill="1" applyBorder="1"/>
    <xf numFmtId="2" fontId="11" fillId="2" borderId="11" xfId="0" applyNumberFormat="1" applyFont="1" applyFill="1" applyBorder="1"/>
    <xf numFmtId="1" fontId="10" fillId="2" borderId="7" xfId="0" applyNumberFormat="1" applyFont="1" applyFill="1" applyBorder="1"/>
    <xf numFmtId="168" fontId="11" fillId="2" borderId="13" xfId="0" applyNumberFormat="1" applyFont="1" applyFill="1" applyBorder="1" applyAlignment="1">
      <alignment vertical="center"/>
    </xf>
    <xf numFmtId="168" fontId="11" fillId="4" borderId="13" xfId="0" applyNumberFormat="1" applyFont="1" applyFill="1" applyBorder="1" applyAlignment="1">
      <alignment vertical="center"/>
    </xf>
    <xf numFmtId="0" fontId="11" fillId="2" borderId="13" xfId="0" applyFont="1" applyFill="1" applyBorder="1" applyAlignment="1">
      <alignment horizontal="right" vertical="center"/>
    </xf>
    <xf numFmtId="168" fontId="11" fillId="2" borderId="8" xfId="0" applyNumberFormat="1" applyFont="1" applyFill="1" applyBorder="1" applyAlignment="1">
      <alignment horizontal="right" vertical="center"/>
    </xf>
    <xf numFmtId="1" fontId="11" fillId="2" borderId="13" xfId="0" applyNumberFormat="1" applyFont="1" applyFill="1" applyBorder="1" applyAlignment="1">
      <alignment vertical="center"/>
    </xf>
    <xf numFmtId="2" fontId="11" fillId="2" borderId="13" xfId="0" applyNumberFormat="1" applyFont="1" applyFill="1" applyBorder="1" applyAlignment="1">
      <alignment vertical="center"/>
    </xf>
    <xf numFmtId="1" fontId="11" fillId="2" borderId="2" xfId="0" applyNumberFormat="1" applyFont="1" applyFill="1" applyBorder="1" applyAlignment="1">
      <alignment vertical="center"/>
    </xf>
    <xf numFmtId="2" fontId="11" fillId="2" borderId="2" xfId="0" applyNumberFormat="1" applyFont="1" applyFill="1" applyBorder="1" applyAlignment="1">
      <alignment vertical="center"/>
    </xf>
    <xf numFmtId="1" fontId="11" fillId="2" borderId="3" xfId="0" applyNumberFormat="1" applyFont="1" applyFill="1" applyBorder="1" applyAlignment="1">
      <alignment vertical="center"/>
    </xf>
    <xf numFmtId="2" fontId="11" fillId="2" borderId="3" xfId="0" applyNumberFormat="1" applyFont="1" applyFill="1" applyBorder="1" applyAlignment="1">
      <alignment vertical="center"/>
    </xf>
    <xf numFmtId="1" fontId="11" fillId="2" borderId="4" xfId="0" applyNumberFormat="1" applyFont="1" applyFill="1" applyBorder="1" applyAlignment="1">
      <alignment vertical="center"/>
    </xf>
    <xf numFmtId="2" fontId="11" fillId="2" borderId="4" xfId="0" applyNumberFormat="1" applyFont="1" applyFill="1" applyBorder="1" applyAlignment="1">
      <alignment vertical="center"/>
    </xf>
    <xf numFmtId="168" fontId="11" fillId="2" borderId="11" xfId="0" applyNumberFormat="1" applyFont="1" applyFill="1" applyBorder="1" applyAlignment="1">
      <alignment vertical="center"/>
    </xf>
    <xf numFmtId="168" fontId="11" fillId="4" borderId="11" xfId="0" applyNumberFormat="1" applyFont="1" applyFill="1" applyBorder="1" applyAlignment="1">
      <alignment vertical="center"/>
    </xf>
    <xf numFmtId="0" fontId="11" fillId="2" borderId="11" xfId="0" applyFont="1" applyFill="1" applyBorder="1" applyAlignment="1">
      <alignment horizontal="right" vertical="center"/>
    </xf>
    <xf numFmtId="168" fontId="11" fillId="2" borderId="12" xfId="0" applyNumberFormat="1" applyFont="1" applyFill="1" applyBorder="1" applyAlignment="1">
      <alignment horizontal="right" vertical="center"/>
    </xf>
    <xf numFmtId="1" fontId="11" fillId="2" borderId="11" xfId="0" applyNumberFormat="1" applyFont="1" applyFill="1" applyBorder="1" applyAlignment="1">
      <alignment vertical="center"/>
    </xf>
    <xf numFmtId="2" fontId="11" fillId="2" borderId="11" xfId="0" applyNumberFormat="1" applyFont="1" applyFill="1" applyBorder="1" applyAlignment="1">
      <alignment vertical="center"/>
    </xf>
    <xf numFmtId="1" fontId="10" fillId="2" borderId="6" xfId="0" applyNumberFormat="1" applyFont="1" applyFill="1" applyBorder="1"/>
    <xf numFmtId="168" fontId="11" fillId="2" borderId="0" xfId="0" applyNumberFormat="1" applyFont="1" applyFill="1" applyBorder="1" applyAlignment="1">
      <alignment vertical="center"/>
    </xf>
    <xf numFmtId="168" fontId="11" fillId="4" borderId="0" xfId="0" applyNumberFormat="1" applyFont="1" applyFill="1" applyBorder="1" applyAlignment="1">
      <alignment vertical="center"/>
    </xf>
    <xf numFmtId="168" fontId="11" fillId="2" borderId="14" xfId="0" applyNumberFormat="1" applyFont="1" applyFill="1" applyBorder="1" applyAlignment="1">
      <alignment horizontal="right" vertical="center"/>
    </xf>
    <xf numFmtId="1" fontId="11" fillId="2" borderId="0" xfId="0" applyNumberFormat="1" applyFont="1" applyFill="1" applyBorder="1" applyAlignment="1">
      <alignment vertical="center"/>
    </xf>
    <xf numFmtId="2" fontId="11" fillId="2" borderId="0" xfId="0" applyNumberFormat="1" applyFont="1" applyFill="1" applyBorder="1" applyAlignment="1">
      <alignment vertical="center"/>
    </xf>
    <xf numFmtId="1" fontId="28" fillId="2" borderId="7" xfId="0" applyNumberFormat="1" applyFont="1" applyFill="1" applyBorder="1"/>
    <xf numFmtId="1" fontId="28" fillId="0" borderId="15" xfId="0" applyNumberFormat="1" applyFont="1" applyBorder="1"/>
    <xf numFmtId="168" fontId="11" fillId="2" borderId="10" xfId="0" applyNumberFormat="1" applyFont="1" applyFill="1" applyBorder="1" applyAlignment="1">
      <alignment vertical="center"/>
    </xf>
    <xf numFmtId="168" fontId="11" fillId="4" borderId="10" xfId="0" applyNumberFormat="1" applyFont="1" applyFill="1" applyBorder="1" applyAlignment="1">
      <alignment vertical="center"/>
    </xf>
    <xf numFmtId="0" fontId="11" fillId="2" borderId="10" xfId="0" applyFont="1" applyFill="1" applyBorder="1" applyAlignment="1">
      <alignment horizontal="right" vertical="center"/>
    </xf>
    <xf numFmtId="168" fontId="11" fillId="2" borderId="9" xfId="0" applyNumberFormat="1" applyFont="1" applyFill="1" applyBorder="1" applyAlignment="1">
      <alignment horizontal="right" vertical="center"/>
    </xf>
    <xf numFmtId="1" fontId="11" fillId="2" borderId="10" xfId="0" applyNumberFormat="1" applyFont="1" applyFill="1" applyBorder="1" applyAlignment="1">
      <alignment vertical="center"/>
    </xf>
    <xf numFmtId="1" fontId="11" fillId="2" borderId="3" xfId="0" applyNumberFormat="1" applyFont="1" applyFill="1" applyBorder="1"/>
    <xf numFmtId="1" fontId="11" fillId="2" borderId="8" xfId="0" applyNumberFormat="1" applyFont="1" applyFill="1" applyBorder="1" applyAlignment="1">
      <alignment vertical="center"/>
    </xf>
    <xf numFmtId="1" fontId="11" fillId="2" borderId="9" xfId="0" applyNumberFormat="1" applyFont="1" applyFill="1" applyBorder="1" applyAlignment="1">
      <alignment vertical="center"/>
    </xf>
    <xf numFmtId="1" fontId="11" fillId="2" borderId="12" xfId="0" applyNumberFormat="1" applyFont="1" applyFill="1" applyBorder="1" applyAlignment="1">
      <alignment vertical="center"/>
    </xf>
    <xf numFmtId="1" fontId="28" fillId="2" borderId="15" xfId="0" applyNumberFormat="1" applyFont="1" applyFill="1" applyBorder="1"/>
    <xf numFmtId="1" fontId="11" fillId="2" borderId="2" xfId="0" applyNumberFormat="1" applyFont="1" applyFill="1" applyBorder="1"/>
    <xf numFmtId="168" fontId="11" fillId="2" borderId="2" xfId="2" applyNumberFormat="1" applyFont="1" applyFill="1" applyBorder="1"/>
    <xf numFmtId="1" fontId="11" fillId="2" borderId="2" xfId="0" applyNumberFormat="1" applyFont="1" applyFill="1" applyBorder="1" applyAlignment="1">
      <alignment horizontal="right"/>
    </xf>
    <xf numFmtId="168" fontId="11" fillId="2" borderId="3" xfId="2" applyNumberFormat="1" applyFont="1" applyFill="1" applyBorder="1"/>
    <xf numFmtId="1" fontId="11" fillId="2" borderId="3" xfId="0" applyNumberFormat="1" applyFont="1" applyFill="1" applyBorder="1" applyAlignment="1">
      <alignment horizontal="right"/>
    </xf>
    <xf numFmtId="1" fontId="28" fillId="2" borderId="6" xfId="0" applyNumberFormat="1" applyFont="1" applyFill="1" applyBorder="1"/>
    <xf numFmtId="168" fontId="11" fillId="2" borderId="0" xfId="2" applyNumberFormat="1" applyFont="1" applyFill="1" applyBorder="1"/>
    <xf numFmtId="1" fontId="11" fillId="2" borderId="6" xfId="0" applyNumberFormat="1" applyFont="1" applyFill="1" applyBorder="1"/>
    <xf numFmtId="168" fontId="11" fillId="2" borderId="3" xfId="0" applyNumberFormat="1" applyFont="1" applyFill="1" applyBorder="1"/>
    <xf numFmtId="168" fontId="26" fillId="2" borderId="3" xfId="0" applyNumberFormat="1" applyFont="1" applyFill="1" applyBorder="1"/>
    <xf numFmtId="1" fontId="29" fillId="2" borderId="3" xfId="0" applyNumberFormat="1" applyFont="1" applyFill="1" applyBorder="1"/>
    <xf numFmtId="1" fontId="11" fillId="0" borderId="2" xfId="2" applyNumberFormat="1" applyFont="1" applyBorder="1" applyAlignment="1">
      <alignment horizontal="right"/>
    </xf>
    <xf numFmtId="168" fontId="11" fillId="2" borderId="3" xfId="0" applyNumberFormat="1" applyFont="1" applyFill="1" applyBorder="1" applyAlignment="1">
      <alignment vertical="center"/>
    </xf>
    <xf numFmtId="168" fontId="11" fillId="4" borderId="3" xfId="0" applyNumberFormat="1" applyFont="1" applyFill="1" applyBorder="1" applyAlignment="1">
      <alignment vertical="center"/>
    </xf>
    <xf numFmtId="1" fontId="11" fillId="2" borderId="0" xfId="0" applyNumberFormat="1" applyFont="1" applyFill="1" applyBorder="1"/>
    <xf numFmtId="2" fontId="11" fillId="2" borderId="0" xfId="0" applyNumberFormat="1" applyFont="1" applyFill="1" applyAlignment="1">
      <alignment vertical="center"/>
    </xf>
    <xf numFmtId="170" fontId="11" fillId="2" borderId="0" xfId="0" applyNumberFormat="1" applyFont="1" applyFill="1" applyAlignment="1">
      <alignment vertical="center"/>
    </xf>
    <xf numFmtId="171" fontId="11" fillId="2" borderId="0" xfId="0" applyNumberFormat="1" applyFont="1" applyFill="1" applyAlignment="1">
      <alignment vertical="center"/>
    </xf>
    <xf numFmtId="172" fontId="11" fillId="2" borderId="0" xfId="0" applyNumberFormat="1" applyFont="1" applyFill="1" applyAlignment="1">
      <alignment vertical="center"/>
    </xf>
    <xf numFmtId="0" fontId="3" fillId="2" borderId="0" xfId="0" applyFont="1" applyFill="1" applyBorder="1" applyAlignment="1">
      <alignment horizontal="center"/>
    </xf>
    <xf numFmtId="0" fontId="8" fillId="2" borderId="0" xfId="0" applyFont="1" applyFill="1" applyBorder="1" applyAlignment="1">
      <alignment horizontal="center"/>
    </xf>
    <xf numFmtId="0" fontId="10" fillId="3" borderId="4" xfId="0" applyFont="1" applyFill="1" applyBorder="1" applyAlignment="1">
      <alignment horizontal="right" vertical="center" wrapText="1"/>
    </xf>
    <xf numFmtId="0" fontId="10" fillId="3" borderId="3" xfId="0" applyFont="1" applyFill="1" applyBorder="1" applyAlignment="1">
      <alignment horizontal="right" vertical="center" wrapText="1"/>
    </xf>
    <xf numFmtId="0" fontId="15" fillId="2" borderId="0" xfId="3" applyFont="1" applyFill="1" applyAlignment="1" applyProtection="1">
      <alignment horizontal="left" vertical="center"/>
    </xf>
    <xf numFmtId="0" fontId="10" fillId="3" borderId="4" xfId="0" applyFont="1" applyFill="1" applyBorder="1" applyAlignment="1">
      <alignment vertical="center" wrapText="1"/>
    </xf>
    <xf numFmtId="3" fontId="18" fillId="2" borderId="3" xfId="0" applyNumberFormat="1" applyFont="1" applyFill="1" applyBorder="1" applyAlignment="1">
      <alignment vertical="center"/>
    </xf>
    <xf numFmtId="0" fontId="18" fillId="2" borderId="3" xfId="0" applyFont="1" applyFill="1" applyBorder="1" applyAlignment="1">
      <alignment vertical="center"/>
    </xf>
    <xf numFmtId="0" fontId="30" fillId="0" borderId="3" xfId="0" applyFont="1" applyFill="1" applyBorder="1" applyAlignment="1">
      <alignment horizontal="right" vertical="center"/>
    </xf>
    <xf numFmtId="164" fontId="11" fillId="0" borderId="2" xfId="0" applyNumberFormat="1" applyFont="1" applyBorder="1"/>
    <xf numFmtId="164" fontId="11" fillId="2" borderId="12" xfId="0" applyNumberFormat="1" applyFont="1" applyFill="1" applyBorder="1"/>
    <xf numFmtId="164" fontId="11" fillId="2" borderId="8" xfId="0" applyNumberFormat="1" applyFont="1" applyFill="1" applyBorder="1" applyAlignment="1">
      <alignment vertical="center"/>
    </xf>
    <xf numFmtId="164" fontId="11" fillId="2" borderId="12" xfId="0" applyNumberFormat="1" applyFont="1" applyFill="1" applyBorder="1" applyAlignment="1">
      <alignment vertical="center"/>
    </xf>
    <xf numFmtId="164" fontId="11" fillId="2" borderId="14" xfId="0" applyNumberFormat="1" applyFont="1" applyFill="1" applyBorder="1" applyAlignment="1">
      <alignment vertical="center"/>
    </xf>
    <xf numFmtId="164" fontId="11" fillId="2" borderId="9" xfId="0" applyNumberFormat="1" applyFont="1" applyFill="1" applyBorder="1" applyAlignment="1">
      <alignment vertical="center"/>
    </xf>
    <xf numFmtId="164" fontId="11" fillId="0" borderId="3" xfId="0" applyNumberFormat="1" applyFont="1" applyBorder="1"/>
    <xf numFmtId="2" fontId="29" fillId="2" borderId="2" xfId="0" applyNumberFormat="1" applyFont="1" applyFill="1" applyBorder="1" applyAlignment="1">
      <alignment vertical="center"/>
    </xf>
    <xf numFmtId="2" fontId="29" fillId="2" borderId="3" xfId="0" applyNumberFormat="1" applyFont="1" applyFill="1" applyBorder="1" applyAlignment="1">
      <alignment vertical="center"/>
    </xf>
    <xf numFmtId="168" fontId="11" fillId="2" borderId="0" xfId="0" applyNumberFormat="1" applyFont="1" applyFill="1" applyBorder="1" applyAlignment="1">
      <alignment horizontal="right"/>
    </xf>
    <xf numFmtId="173" fontId="11" fillId="4" borderId="2" xfId="2" applyNumberFormat="1" applyFont="1" applyFill="1" applyBorder="1"/>
    <xf numFmtId="173" fontId="11" fillId="4" borderId="3" xfId="2" applyNumberFormat="1" applyFont="1" applyFill="1" applyBorder="1"/>
    <xf numFmtId="173" fontId="11" fillId="4" borderId="4" xfId="2" applyNumberFormat="1" applyFont="1" applyFill="1" applyBorder="1"/>
    <xf numFmtId="173" fontId="11" fillId="4" borderId="11" xfId="2" applyNumberFormat="1" applyFont="1" applyFill="1" applyBorder="1"/>
    <xf numFmtId="173" fontId="11" fillId="4" borderId="13" xfId="0" applyNumberFormat="1" applyFont="1" applyFill="1" applyBorder="1" applyAlignment="1">
      <alignment vertical="center"/>
    </xf>
    <xf numFmtId="173" fontId="11" fillId="4" borderId="11" xfId="0" applyNumberFormat="1" applyFont="1" applyFill="1" applyBorder="1" applyAlignment="1">
      <alignment vertical="center"/>
    </xf>
    <xf numFmtId="173" fontId="11" fillId="4" borderId="0" xfId="0" applyNumberFormat="1" applyFont="1" applyFill="1" applyBorder="1" applyAlignment="1">
      <alignment vertical="center"/>
    </xf>
    <xf numFmtId="173" fontId="11" fillId="4" borderId="10" xfId="0" applyNumberFormat="1" applyFont="1" applyFill="1" applyBorder="1" applyAlignment="1">
      <alignment vertical="center"/>
    </xf>
    <xf numFmtId="173" fontId="11" fillId="2" borderId="0" xfId="0" applyNumberFormat="1" applyFont="1" applyFill="1" applyBorder="1" applyAlignment="1">
      <alignment horizontal="right"/>
    </xf>
    <xf numFmtId="173" fontId="11" fillId="4" borderId="3" xfId="0" applyNumberFormat="1" applyFont="1" applyFill="1" applyBorder="1" applyAlignment="1">
      <alignment vertical="center"/>
    </xf>
    <xf numFmtId="168" fontId="29" fillId="4" borderId="3" xfId="2" applyNumberFormat="1" applyFont="1" applyFill="1" applyBorder="1"/>
    <xf numFmtId="173" fontId="29" fillId="4" borderId="3" xfId="2" applyNumberFormat="1" applyFont="1" applyFill="1" applyBorder="1"/>
    <xf numFmtId="166" fontId="11" fillId="0" borderId="2" xfId="0" applyNumberFormat="1" applyFont="1" applyBorder="1"/>
    <xf numFmtId="166" fontId="11" fillId="0" borderId="3" xfId="0" applyNumberFormat="1" applyFont="1" applyBorder="1"/>
    <xf numFmtId="169" fontId="11" fillId="0" borderId="3" xfId="0" applyNumberFormat="1" applyFont="1" applyBorder="1"/>
    <xf numFmtId="168" fontId="29" fillId="0" borderId="3" xfId="2" applyNumberFormat="1" applyFont="1" applyFill="1" applyBorder="1"/>
    <xf numFmtId="3" fontId="18" fillId="0" borderId="3" xfId="0" applyNumberFormat="1" applyFont="1" applyFill="1" applyBorder="1" applyAlignment="1">
      <alignment horizontal="right" vertical="center"/>
    </xf>
    <xf numFmtId="3" fontId="23" fillId="0" borderId="3" xfId="0" applyNumberFormat="1" applyFont="1" applyFill="1" applyBorder="1" applyAlignment="1">
      <alignment horizontal="right" vertical="center"/>
    </xf>
    <xf numFmtId="168" fontId="11" fillId="4" borderId="7" xfId="2" applyNumberFormat="1" applyFont="1" applyFill="1" applyBorder="1"/>
    <xf numFmtId="168" fontId="11" fillId="4" borderId="15" xfId="2" applyNumberFormat="1" applyFont="1" applyFill="1" applyBorder="1"/>
    <xf numFmtId="168" fontId="11" fillId="4" borderId="5" xfId="2" applyNumberFormat="1" applyFont="1" applyFill="1" applyBorder="1"/>
    <xf numFmtId="168" fontId="11" fillId="4" borderId="15" xfId="0" applyNumberFormat="1" applyFont="1" applyFill="1" applyBorder="1" applyAlignment="1">
      <alignment vertical="center"/>
    </xf>
    <xf numFmtId="0" fontId="10" fillId="2" borderId="5" xfId="0" applyFont="1" applyFill="1" applyBorder="1" applyAlignment="1">
      <alignment horizontal="right" vertical="center" wrapText="1"/>
    </xf>
    <xf numFmtId="1" fontId="11" fillId="2" borderId="5" xfId="0" applyNumberFormat="1" applyFont="1" applyFill="1" applyBorder="1" applyAlignment="1">
      <alignment horizontal="right"/>
    </xf>
    <xf numFmtId="1" fontId="11" fillId="2" borderId="7" xfId="0" applyNumberFormat="1" applyFont="1" applyFill="1" applyBorder="1" applyAlignment="1">
      <alignment horizontal="right"/>
    </xf>
    <xf numFmtId="1" fontId="11" fillId="2" borderId="6" xfId="0" applyNumberFormat="1" applyFont="1" applyFill="1" applyBorder="1" applyAlignment="1">
      <alignment horizontal="right"/>
    </xf>
    <xf numFmtId="1" fontId="11" fillId="2" borderId="15" xfId="0" applyNumberFormat="1" applyFont="1" applyFill="1" applyBorder="1" applyAlignment="1">
      <alignment horizontal="right"/>
    </xf>
    <xf numFmtId="0" fontId="11" fillId="2" borderId="6" xfId="0" applyFont="1" applyFill="1" applyBorder="1" applyAlignment="1">
      <alignment vertical="center"/>
    </xf>
    <xf numFmtId="0" fontId="6" fillId="2" borderId="0" xfId="0" applyFont="1" applyFill="1" applyAlignment="1">
      <alignment horizontal="left"/>
    </xf>
    <xf numFmtId="0" fontId="5" fillId="2" borderId="0" xfId="0" applyFont="1" applyFill="1" applyAlignment="1">
      <alignment horizontal="center"/>
    </xf>
    <xf numFmtId="0" fontId="6" fillId="2" borderId="0" xfId="0" applyFont="1" applyFill="1" applyAlignment="1">
      <alignment horizontal="right"/>
    </xf>
    <xf numFmtId="0" fontId="6" fillId="2" borderId="0" xfId="0" applyFont="1" applyFill="1" applyBorder="1" applyAlignment="1">
      <alignment horizontal="right"/>
    </xf>
    <xf numFmtId="164" fontId="5" fillId="2" borderId="0" xfId="0" applyNumberFormat="1" applyFont="1" applyFill="1" applyAlignment="1">
      <alignment vertical="center"/>
    </xf>
    <xf numFmtId="164" fontId="5" fillId="2" borderId="0" xfId="0" applyNumberFormat="1" applyFont="1" applyFill="1"/>
    <xf numFmtId="1" fontId="6" fillId="5" borderId="3" xfId="0" applyNumberFormat="1" applyFont="1" applyFill="1" applyBorder="1" applyAlignment="1">
      <alignment horizontal="right" vertical="center" wrapText="1"/>
    </xf>
    <xf numFmtId="9" fontId="6" fillId="5" borderId="3" xfId="0" applyNumberFormat="1" applyFont="1" applyFill="1" applyBorder="1" applyAlignment="1">
      <alignment horizontal="right" vertical="center" wrapText="1"/>
    </xf>
    <xf numFmtId="0" fontId="6" fillId="5" borderId="3" xfId="0" applyFont="1" applyFill="1" applyBorder="1" applyAlignment="1">
      <alignment horizontal="right" vertical="center" wrapText="1"/>
    </xf>
    <xf numFmtId="0" fontId="5" fillId="2" borderId="3" xfId="0" applyFont="1" applyFill="1" applyBorder="1" applyAlignment="1">
      <alignment horizontal="center" vertical="center" wrapText="1"/>
    </xf>
    <xf numFmtId="0" fontId="6" fillId="4" borderId="3" xfId="0" applyFont="1" applyFill="1" applyBorder="1" applyAlignment="1">
      <alignment horizontal="center" vertical="center" wrapText="1"/>
    </xf>
    <xf numFmtId="0" fontId="5" fillId="4" borderId="3" xfId="0" applyFont="1" applyFill="1" applyBorder="1" applyAlignment="1">
      <alignment horizontal="center" vertical="center" wrapText="1"/>
    </xf>
    <xf numFmtId="169" fontId="5" fillId="2" borderId="3" xfId="0" applyNumberFormat="1" applyFont="1" applyFill="1" applyBorder="1" applyAlignment="1">
      <alignment horizontal="center"/>
    </xf>
    <xf numFmtId="164" fontId="5" fillId="2" borderId="3" xfId="0" applyNumberFormat="1" applyFont="1" applyFill="1" applyBorder="1" applyAlignment="1">
      <alignment horizontal="right"/>
    </xf>
    <xf numFmtId="165" fontId="5" fillId="4" borderId="3" xfId="0" applyNumberFormat="1" applyFont="1" applyFill="1" applyBorder="1" applyAlignment="1">
      <alignment horizontal="right"/>
    </xf>
    <xf numFmtId="0" fontId="6" fillId="2" borderId="3" xfId="0" applyFont="1" applyFill="1" applyBorder="1"/>
    <xf numFmtId="0" fontId="6" fillId="2" borderId="3" xfId="0" applyFont="1" applyFill="1" applyBorder="1" applyAlignment="1">
      <alignment horizontal="center"/>
    </xf>
    <xf numFmtId="165" fontId="6" fillId="2" borderId="3" xfId="0" applyNumberFormat="1" applyFont="1" applyFill="1" applyBorder="1" applyAlignment="1">
      <alignment horizontal="right"/>
    </xf>
    <xf numFmtId="165" fontId="6" fillId="4" borderId="3" xfId="0" applyNumberFormat="1" applyFont="1" applyFill="1" applyBorder="1" applyAlignment="1">
      <alignment horizontal="right"/>
    </xf>
    <xf numFmtId="0" fontId="6" fillId="2" borderId="0" xfId="0" applyFont="1" applyFill="1" applyBorder="1" applyAlignment="1">
      <alignment horizontal="center"/>
    </xf>
    <xf numFmtId="165" fontId="6" fillId="2" borderId="0" xfId="0" applyNumberFormat="1" applyFont="1" applyFill="1" applyBorder="1" applyAlignment="1">
      <alignment horizontal="right"/>
    </xf>
    <xf numFmtId="0" fontId="31" fillId="2" borderId="0" xfId="0" applyFont="1" applyFill="1" applyAlignment="1">
      <alignment horizontal="left" vertical="center"/>
    </xf>
    <xf numFmtId="0" fontId="31" fillId="2" borderId="0" xfId="0" applyFont="1" applyFill="1" applyAlignment="1">
      <alignment vertical="center"/>
    </xf>
    <xf numFmtId="0" fontId="31" fillId="2" borderId="0" xfId="0" applyFont="1" applyFill="1" applyAlignment="1">
      <alignment horizontal="center" vertical="center"/>
    </xf>
    <xf numFmtId="3" fontId="5" fillId="2" borderId="3" xfId="0" applyNumberFormat="1" applyFont="1" applyFill="1" applyBorder="1" applyAlignment="1">
      <alignment vertical="center"/>
    </xf>
    <xf numFmtId="0" fontId="31" fillId="2" borderId="0" xfId="0" applyFont="1" applyFill="1" applyAlignment="1">
      <alignment horizontal="left"/>
    </xf>
    <xf numFmtId="165" fontId="5" fillId="2" borderId="3" xfId="0" applyNumberFormat="1" applyFont="1" applyFill="1" applyBorder="1" applyAlignment="1">
      <alignment horizontal="center"/>
    </xf>
    <xf numFmtId="165" fontId="6" fillId="4" borderId="3" xfId="0" applyNumberFormat="1" applyFont="1" applyFill="1" applyBorder="1" applyAlignment="1">
      <alignment horizontal="center"/>
    </xf>
    <xf numFmtId="165" fontId="5" fillId="4" borderId="3" xfId="0" applyNumberFormat="1" applyFont="1" applyFill="1" applyBorder="1" applyAlignment="1">
      <alignment horizontal="center"/>
    </xf>
    <xf numFmtId="165" fontId="6" fillId="2" borderId="0" xfId="0" applyNumberFormat="1" applyFont="1" applyFill="1" applyBorder="1" applyAlignment="1">
      <alignment horizontal="left"/>
    </xf>
    <xf numFmtId="165" fontId="5" fillId="2" borderId="0" xfId="0" applyNumberFormat="1" applyFont="1" applyFill="1"/>
    <xf numFmtId="165" fontId="6" fillId="2" borderId="0" xfId="0" applyNumberFormat="1" applyFont="1" applyFill="1" applyAlignment="1">
      <alignment horizontal="right"/>
    </xf>
    <xf numFmtId="165" fontId="20" fillId="2" borderId="0" xfId="0" applyNumberFormat="1" applyFont="1" applyFill="1" applyBorder="1" applyAlignment="1">
      <alignment horizontal="center"/>
    </xf>
    <xf numFmtId="165" fontId="5" fillId="2" borderId="0" xfId="0" applyNumberFormat="1" applyFont="1" applyFill="1" applyAlignment="1">
      <alignment vertical="center"/>
    </xf>
    <xf numFmtId="165" fontId="6" fillId="5" borderId="3" xfId="0" applyNumberFormat="1" applyFont="1" applyFill="1" applyBorder="1" applyAlignment="1">
      <alignment horizontal="right" vertical="center" wrapText="1"/>
    </xf>
    <xf numFmtId="165" fontId="5" fillId="2" borderId="3" xfId="0" applyNumberFormat="1" applyFont="1" applyFill="1" applyBorder="1" applyAlignment="1">
      <alignment horizontal="center" vertical="center" wrapText="1"/>
    </xf>
    <xf numFmtId="165" fontId="6" fillId="4" borderId="3" xfId="0" applyNumberFormat="1" applyFont="1" applyFill="1" applyBorder="1" applyAlignment="1">
      <alignment horizontal="center" vertical="center" wrapText="1"/>
    </xf>
    <xf numFmtId="165" fontId="5" fillId="4" borderId="3" xfId="0" applyNumberFormat="1" applyFont="1" applyFill="1" applyBorder="1" applyAlignment="1">
      <alignment horizontal="center" vertical="center" wrapText="1"/>
    </xf>
    <xf numFmtId="0" fontId="7" fillId="2" borderId="0" xfId="0" applyFont="1" applyFill="1" applyBorder="1" applyAlignment="1"/>
    <xf numFmtId="1" fontId="5" fillId="2" borderId="0" xfId="0" applyNumberFormat="1" applyFont="1" applyFill="1" applyAlignment="1">
      <alignment vertical="center"/>
    </xf>
    <xf numFmtId="3" fontId="5" fillId="2" borderId="0" xfId="0" applyNumberFormat="1" applyFont="1" applyFill="1" applyAlignment="1">
      <alignment vertical="center"/>
    </xf>
    <xf numFmtId="169" fontId="26" fillId="0" borderId="3" xfId="0" applyNumberFormat="1" applyFont="1" applyFill="1" applyBorder="1" applyAlignment="1">
      <alignment horizontal="right"/>
    </xf>
    <xf numFmtId="169" fontId="26" fillId="2" borderId="11" xfId="0" applyNumberFormat="1" applyFont="1" applyFill="1" applyBorder="1" applyAlignment="1">
      <alignment horizontal="right"/>
    </xf>
    <xf numFmtId="169" fontId="26" fillId="2" borderId="13" xfId="0" applyNumberFormat="1" applyFont="1" applyFill="1" applyBorder="1" applyAlignment="1">
      <alignment horizontal="right"/>
    </xf>
    <xf numFmtId="169" fontId="26" fillId="2" borderId="0" xfId="0" applyNumberFormat="1" applyFont="1" applyFill="1" applyBorder="1" applyAlignment="1">
      <alignment horizontal="right"/>
    </xf>
    <xf numFmtId="169" fontId="26" fillId="0" borderId="3" xfId="0" applyNumberFormat="1" applyFont="1" applyFill="1" applyBorder="1"/>
    <xf numFmtId="169" fontId="26" fillId="2" borderId="10" xfId="0" applyNumberFormat="1" applyFont="1" applyFill="1" applyBorder="1" applyAlignment="1">
      <alignment horizontal="right"/>
    </xf>
    <xf numFmtId="169" fontId="26" fillId="0" borderId="0" xfId="1" applyNumberFormat="1" applyFont="1" applyBorder="1" applyAlignment="1">
      <alignment horizontal="right"/>
    </xf>
    <xf numFmtId="169" fontId="26" fillId="2" borderId="11" xfId="1" applyNumberFormat="1" applyFont="1" applyFill="1" applyBorder="1" applyAlignment="1">
      <alignment horizontal="right"/>
    </xf>
    <xf numFmtId="169" fontId="26" fillId="2" borderId="13" xfId="1" applyNumberFormat="1" applyFont="1" applyFill="1" applyBorder="1" applyAlignment="1">
      <alignment horizontal="right"/>
    </xf>
    <xf numFmtId="168" fontId="11" fillId="2" borderId="0" xfId="0" applyNumberFormat="1" applyFont="1" applyFill="1" applyBorder="1" applyAlignment="1">
      <alignment horizontal="right" vertical="center"/>
    </xf>
    <xf numFmtId="168" fontId="11" fillId="2" borderId="5" xfId="2" applyNumberFormat="1" applyFont="1" applyFill="1" applyBorder="1" applyAlignment="1">
      <alignment horizontal="right"/>
    </xf>
    <xf numFmtId="0" fontId="11" fillId="2" borderId="7" xfId="0" applyFont="1" applyFill="1" applyBorder="1" applyAlignment="1">
      <alignment horizontal="right" vertical="center"/>
    </xf>
    <xf numFmtId="168" fontId="11" fillId="2" borderId="13" xfId="0" applyNumberFormat="1" applyFont="1" applyFill="1" applyBorder="1" applyAlignment="1">
      <alignment horizontal="right" vertical="center"/>
    </xf>
    <xf numFmtId="0" fontId="11" fillId="2" borderId="5" xfId="0" applyFont="1" applyFill="1" applyBorder="1" applyAlignment="1">
      <alignment horizontal="right" vertical="center"/>
    </xf>
    <xf numFmtId="168" fontId="11" fillId="2" borderId="11" xfId="0" applyNumberFormat="1" applyFont="1" applyFill="1" applyBorder="1" applyAlignment="1">
      <alignment horizontal="right" vertical="center"/>
    </xf>
    <xf numFmtId="0" fontId="11" fillId="2" borderId="6" xfId="0" applyFont="1" applyFill="1" applyBorder="1" applyAlignment="1">
      <alignment horizontal="right" vertical="center"/>
    </xf>
    <xf numFmtId="0" fontId="11" fillId="2" borderId="15" xfId="0" applyFont="1" applyFill="1" applyBorder="1" applyAlignment="1">
      <alignment horizontal="right" vertical="center"/>
    </xf>
    <xf numFmtId="168" fontId="11" fillId="2" borderId="10" xfId="0" applyNumberFormat="1" applyFont="1" applyFill="1" applyBorder="1" applyAlignment="1">
      <alignment horizontal="right" vertical="center"/>
    </xf>
    <xf numFmtId="164" fontId="11" fillId="0" borderId="3" xfId="0" applyNumberFormat="1" applyFont="1" applyFill="1" applyBorder="1" applyAlignment="1">
      <alignment vertical="center"/>
    </xf>
    <xf numFmtId="169" fontId="26" fillId="0" borderId="10" xfId="0" applyNumberFormat="1" applyFont="1" applyFill="1" applyBorder="1" applyAlignment="1">
      <alignment horizontal="right"/>
    </xf>
    <xf numFmtId="164" fontId="11" fillId="0" borderId="3" xfId="0" applyNumberFormat="1" applyFont="1" applyFill="1" applyBorder="1" applyAlignment="1">
      <alignment horizontal="right" vertical="center"/>
    </xf>
    <xf numFmtId="165" fontId="11" fillId="0" borderId="2" xfId="0" applyNumberFormat="1" applyFont="1" applyFill="1" applyBorder="1" applyAlignment="1">
      <alignment vertical="center"/>
    </xf>
    <xf numFmtId="168" fontId="11" fillId="0" borderId="3" xfId="2" applyNumberFormat="1" applyFont="1" applyFill="1" applyBorder="1"/>
    <xf numFmtId="173" fontId="11" fillId="0" borderId="3" xfId="2" applyNumberFormat="1" applyFont="1" applyFill="1" applyBorder="1"/>
    <xf numFmtId="168" fontId="11" fillId="0" borderId="4" xfId="2" applyNumberFormat="1" applyFont="1" applyFill="1" applyBorder="1"/>
    <xf numFmtId="173" fontId="11" fillId="0" borderId="4" xfId="2" applyNumberFormat="1" applyFont="1" applyFill="1" applyBorder="1"/>
    <xf numFmtId="168" fontId="11" fillId="6" borderId="3" xfId="2" applyNumberFormat="1" applyFont="1" applyFill="1" applyBorder="1"/>
    <xf numFmtId="168" fontId="11" fillId="0" borderId="2" xfId="2" applyNumberFormat="1" applyFont="1" applyFill="1" applyBorder="1" applyAlignment="1">
      <alignment horizontal="right"/>
    </xf>
    <xf numFmtId="164" fontId="11" fillId="2" borderId="0" xfId="0" applyNumberFormat="1" applyFont="1" applyFill="1" applyAlignment="1">
      <alignment vertical="center"/>
    </xf>
    <xf numFmtId="0" fontId="8" fillId="2" borderId="0" xfId="0" applyFont="1" applyFill="1" applyBorder="1" applyAlignment="1">
      <alignment horizontal="center"/>
    </xf>
    <xf numFmtId="0" fontId="12" fillId="2" borderId="0" xfId="0" applyFont="1" applyFill="1" applyBorder="1" applyAlignment="1">
      <alignment horizontal="center"/>
    </xf>
    <xf numFmtId="0" fontId="0" fillId="2" borderId="0" xfId="0" applyFill="1" applyAlignment="1">
      <alignment horizontal="center"/>
    </xf>
    <xf numFmtId="0" fontId="2" fillId="2" borderId="0" xfId="0" applyFont="1" applyFill="1" applyBorder="1" applyAlignment="1">
      <alignment horizontal="center"/>
    </xf>
    <xf numFmtId="0" fontId="33" fillId="2" borderId="0" xfId="0" applyFont="1" applyFill="1" applyBorder="1" applyAlignment="1">
      <alignment horizontal="center"/>
    </xf>
    <xf numFmtId="0" fontId="32" fillId="2" borderId="0" xfId="0" applyFont="1" applyFill="1" applyBorder="1" applyAlignment="1">
      <alignment horizontal="center"/>
    </xf>
    <xf numFmtId="0" fontId="25" fillId="2" borderId="0" xfId="0" applyFont="1" applyFill="1" applyBorder="1" applyAlignment="1">
      <alignment horizontal="justify" vertical="top" wrapText="1"/>
    </xf>
    <xf numFmtId="0" fontId="25" fillId="2" borderId="0" xfId="0" applyFont="1" applyFill="1" applyAlignment="1">
      <alignment horizontal="justify" vertical="top" wrapText="1"/>
    </xf>
    <xf numFmtId="0" fontId="30" fillId="2" borderId="3" xfId="0" applyFont="1" applyFill="1" applyBorder="1" applyAlignment="1">
      <alignment horizontal="left" vertical="center"/>
    </xf>
    <xf numFmtId="0" fontId="18" fillId="2" borderId="15" xfId="0" applyFont="1" applyFill="1" applyBorder="1" applyAlignment="1">
      <alignment horizontal="left" vertical="center"/>
    </xf>
    <xf numFmtId="0" fontId="18" fillId="2" borderId="9" xfId="0" applyFont="1" applyFill="1" applyBorder="1" applyAlignment="1">
      <alignment horizontal="left" vertical="center"/>
    </xf>
    <xf numFmtId="0" fontId="10" fillId="3" borderId="3" xfId="0" applyFont="1" applyFill="1" applyBorder="1" applyAlignment="1">
      <alignment horizontal="center" vertical="center" wrapText="1"/>
    </xf>
    <xf numFmtId="0" fontId="10" fillId="3" borderId="15"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5"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0" fillId="3" borderId="12" xfId="0" applyFont="1" applyFill="1" applyBorder="1" applyAlignment="1">
      <alignment horizontal="center" vertical="center" wrapText="1"/>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wrapText="1"/>
    </xf>
    <xf numFmtId="0" fontId="10" fillId="3" borderId="2" xfId="0" applyFont="1" applyFill="1" applyBorder="1" applyAlignment="1">
      <alignment horizontal="center" vertical="center" wrapText="1"/>
    </xf>
    <xf numFmtId="0" fontId="10" fillId="3" borderId="15" xfId="0" applyFont="1" applyFill="1" applyBorder="1" applyAlignment="1">
      <alignment horizontal="center" vertical="center"/>
    </xf>
    <xf numFmtId="0" fontId="10" fillId="3" borderId="10" xfId="0" applyFont="1" applyFill="1" applyBorder="1" applyAlignment="1">
      <alignment horizontal="center" vertical="center"/>
    </xf>
    <xf numFmtId="0" fontId="10" fillId="3" borderId="9" xfId="0" applyFont="1" applyFill="1" applyBorder="1" applyAlignment="1">
      <alignment horizontal="center" vertical="center"/>
    </xf>
    <xf numFmtId="0" fontId="10" fillId="3" borderId="3" xfId="0" applyFont="1" applyFill="1" applyBorder="1" applyAlignment="1">
      <alignment horizontal="left" vertical="center"/>
    </xf>
    <xf numFmtId="0" fontId="10" fillId="0" borderId="4" xfId="0" applyFont="1" applyBorder="1" applyAlignment="1">
      <alignment horizontal="left"/>
    </xf>
    <xf numFmtId="168" fontId="10" fillId="3" borderId="4" xfId="0" applyNumberFormat="1" applyFont="1" applyFill="1" applyBorder="1" applyAlignment="1">
      <alignment horizontal="right" vertical="center" wrapText="1"/>
    </xf>
    <xf numFmtId="168" fontId="10" fillId="3" borderId="1" xfId="0" applyNumberFormat="1" applyFont="1" applyFill="1" applyBorder="1" applyAlignment="1">
      <alignment horizontal="right" vertical="center" wrapText="1"/>
    </xf>
    <xf numFmtId="0" fontId="10" fillId="3" borderId="4" xfId="0" applyFont="1" applyFill="1" applyBorder="1" applyAlignment="1">
      <alignment horizontal="right" vertical="center" wrapText="1"/>
    </xf>
    <xf numFmtId="0" fontId="10" fillId="3" borderId="1" xfId="0" applyFont="1" applyFill="1" applyBorder="1" applyAlignment="1">
      <alignment horizontal="right" vertical="center" wrapText="1"/>
    </xf>
    <xf numFmtId="0" fontId="10" fillId="3" borderId="5" xfId="0" applyFont="1" applyFill="1" applyBorder="1" applyAlignment="1">
      <alignment horizontal="right" vertical="center" wrapText="1"/>
    </xf>
    <xf numFmtId="0" fontId="10" fillId="3" borderId="6" xfId="0" applyFont="1" applyFill="1" applyBorder="1" applyAlignment="1">
      <alignment horizontal="right" vertical="center" wrapText="1"/>
    </xf>
    <xf numFmtId="165" fontId="10" fillId="2" borderId="7" xfId="0" applyNumberFormat="1" applyFont="1" applyFill="1" applyBorder="1" applyAlignment="1">
      <alignment horizontal="center" vertical="center"/>
    </xf>
    <xf numFmtId="165" fontId="10" fillId="2" borderId="10" xfId="0" applyNumberFormat="1" applyFont="1" applyFill="1" applyBorder="1" applyAlignment="1">
      <alignment horizontal="center" vertical="center"/>
    </xf>
    <xf numFmtId="165" fontId="10" fillId="2" borderId="9" xfId="0" applyNumberFormat="1" applyFont="1" applyFill="1" applyBorder="1" applyAlignment="1">
      <alignment horizontal="center" vertical="center"/>
    </xf>
    <xf numFmtId="0" fontId="10" fillId="3" borderId="15" xfId="0" applyFont="1" applyFill="1" applyBorder="1" applyAlignment="1">
      <alignment horizontal="left" vertical="center"/>
    </xf>
    <xf numFmtId="0" fontId="10" fillId="3" borderId="4" xfId="0" applyFont="1" applyFill="1" applyBorder="1" applyAlignment="1">
      <alignment horizontal="center" vertical="center"/>
    </xf>
    <xf numFmtId="0" fontId="6" fillId="5" borderId="15" xfId="0" applyFont="1" applyFill="1" applyBorder="1" applyAlignment="1">
      <alignment horizontal="center"/>
    </xf>
    <xf numFmtId="0" fontId="6" fillId="5" borderId="10" xfId="0" applyFont="1" applyFill="1" applyBorder="1" applyAlignment="1">
      <alignment horizontal="center"/>
    </xf>
    <xf numFmtId="0" fontId="6" fillId="5" borderId="9" xfId="0" applyFont="1" applyFill="1" applyBorder="1" applyAlignment="1">
      <alignment horizontal="center"/>
    </xf>
    <xf numFmtId="0" fontId="5" fillId="3" borderId="4"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19" fillId="2" borderId="0" xfId="3" applyFont="1" applyFill="1" applyAlignment="1" applyProtection="1">
      <alignment horizontal="left"/>
    </xf>
    <xf numFmtId="0" fontId="6" fillId="5" borderId="4" xfId="0" applyFont="1" applyFill="1" applyBorder="1" applyAlignment="1">
      <alignment horizontal="right" vertical="center" wrapText="1"/>
    </xf>
    <xf numFmtId="0" fontId="6" fillId="5" borderId="2" xfId="0" applyFont="1" applyFill="1" applyBorder="1" applyAlignment="1">
      <alignment horizontal="right" vertical="center" wrapText="1"/>
    </xf>
    <xf numFmtId="165" fontId="6" fillId="5" borderId="15" xfId="0" applyNumberFormat="1" applyFont="1" applyFill="1" applyBorder="1" applyAlignment="1">
      <alignment horizontal="center"/>
    </xf>
    <xf numFmtId="165" fontId="6" fillId="5" borderId="10" xfId="0" applyNumberFormat="1" applyFont="1" applyFill="1" applyBorder="1" applyAlignment="1">
      <alignment horizontal="center"/>
    </xf>
    <xf numFmtId="165" fontId="6" fillId="5" borderId="9" xfId="0" applyNumberFormat="1" applyFont="1" applyFill="1" applyBorder="1" applyAlignment="1">
      <alignment horizontal="center"/>
    </xf>
    <xf numFmtId="0" fontId="5" fillId="3" borderId="3" xfId="0" applyFont="1" applyFill="1" applyBorder="1" applyAlignment="1">
      <alignment horizontal="center" vertical="center" wrapText="1"/>
    </xf>
    <xf numFmtId="0" fontId="5" fillId="3" borderId="3" xfId="0" applyFont="1" applyFill="1" applyBorder="1" applyAlignment="1">
      <alignment horizontal="center" vertical="center"/>
    </xf>
    <xf numFmtId="0" fontId="5" fillId="2" borderId="15"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5" xfId="0" applyFont="1" applyFill="1" applyBorder="1" applyAlignment="1">
      <alignment horizontal="center"/>
    </xf>
    <xf numFmtId="0" fontId="5" fillId="2" borderId="10" xfId="0" applyFont="1" applyFill="1" applyBorder="1" applyAlignment="1">
      <alignment horizontal="center"/>
    </xf>
    <xf numFmtId="0" fontId="5" fillId="2" borderId="9" xfId="0" applyFont="1" applyFill="1" applyBorder="1" applyAlignment="1">
      <alignment horizontal="center"/>
    </xf>
    <xf numFmtId="165" fontId="11" fillId="2" borderId="15" xfId="0" applyNumberFormat="1" applyFont="1" applyFill="1" applyBorder="1" applyAlignment="1">
      <alignment horizontal="center" vertical="center"/>
    </xf>
    <xf numFmtId="165" fontId="11" fillId="2" borderId="10" xfId="0" applyNumberFormat="1" applyFont="1" applyFill="1" applyBorder="1" applyAlignment="1">
      <alignment horizontal="center" vertical="center"/>
    </xf>
    <xf numFmtId="165" fontId="11" fillId="2" borderId="9" xfId="0" applyNumberFormat="1" applyFont="1" applyFill="1" applyBorder="1" applyAlignment="1">
      <alignment horizontal="center" vertical="center"/>
    </xf>
    <xf numFmtId="0" fontId="10" fillId="3" borderId="3" xfId="0" applyFont="1" applyFill="1" applyBorder="1" applyAlignment="1">
      <alignment horizontal="right" vertical="center" wrapText="1"/>
    </xf>
    <xf numFmtId="165" fontId="10" fillId="2" borderId="15" xfId="0" applyNumberFormat="1" applyFont="1" applyFill="1" applyBorder="1" applyAlignment="1">
      <alignment horizontal="center" vertical="center"/>
    </xf>
    <xf numFmtId="0" fontId="10" fillId="3" borderId="5" xfId="0" applyFont="1" applyFill="1" applyBorder="1" applyAlignment="1">
      <alignment horizontal="center" vertical="center"/>
    </xf>
    <xf numFmtId="0" fontId="10" fillId="3" borderId="11" xfId="0" applyFont="1" applyFill="1" applyBorder="1" applyAlignment="1">
      <alignment horizontal="center" vertical="center"/>
    </xf>
    <xf numFmtId="0" fontId="10" fillId="3" borderId="12" xfId="0" applyFont="1" applyFill="1" applyBorder="1" applyAlignment="1">
      <alignment horizontal="center" vertical="center"/>
    </xf>
    <xf numFmtId="0" fontId="11" fillId="2" borderId="15"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5" fillId="2" borderId="0" xfId="3" applyFont="1" applyFill="1" applyAlignment="1" applyProtection="1">
      <alignment horizontal="left" vertical="center"/>
    </xf>
  </cellXfs>
  <cellStyles count="6">
    <cellStyle name="Comma" xfId="1" builtinId="3"/>
    <cellStyle name="Comma [0]" xfId="2" builtinId="6"/>
    <cellStyle name="Comma 2" xfId="5"/>
    <cellStyle name="Hyperlink" xfId="3" builtinId="8"/>
    <cellStyle name="Normal" xfId="0" builtinId="0"/>
    <cellStyle name="Normal 2" xfId="4"/>
  </cellStyles>
  <dxfs count="0"/>
  <tableStyles count="0" defaultTableStyle="TableStyleMedium9"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590548</xdr:colOff>
      <xdr:row>1</xdr:row>
      <xdr:rowOff>104776</xdr:rowOff>
    </xdr:from>
    <xdr:to>
      <xdr:col>28</xdr:col>
      <xdr:colOff>0</xdr:colOff>
      <xdr:row>34</xdr:row>
      <xdr:rowOff>66676</xdr:rowOff>
    </xdr:to>
    <xdr:sp macro="" textlink="">
      <xdr:nvSpPr>
        <xdr:cNvPr id="1025" name="Rectangle 1"/>
        <xdr:cNvSpPr>
          <a:spLocks noChangeArrowheads="1"/>
        </xdr:cNvSpPr>
      </xdr:nvSpPr>
      <xdr:spPr bwMode="auto">
        <a:xfrm>
          <a:off x="590548" y="295276"/>
          <a:ext cx="16554452" cy="5867400"/>
        </a:xfrm>
        <a:prstGeom prst="rect">
          <a:avLst/>
        </a:prstGeom>
        <a:noFill/>
        <a:ln w="9525">
          <a:solidFill>
            <a:srgbClr val="000000"/>
          </a:solidFill>
          <a:miter lim="800000"/>
          <a:headEnd/>
          <a:tailEnd/>
        </a:ln>
        <a:effectLst>
          <a:outerShdw dist="107763" dir="18900000" algn="ctr" rotWithShape="0">
            <a:srgbClr val="808080"/>
          </a:outerShdw>
        </a:effectLst>
      </xdr:spPr>
    </xdr:sp>
    <xdr:clientData/>
  </xdr:twoCellAnchor>
  <xdr:twoCellAnchor>
    <xdr:from>
      <xdr:col>3</xdr:col>
      <xdr:colOff>81643</xdr:colOff>
      <xdr:row>4</xdr:row>
      <xdr:rowOff>46265</xdr:rowOff>
    </xdr:from>
    <xdr:to>
      <xdr:col>26</xdr:col>
      <xdr:colOff>0</xdr:colOff>
      <xdr:row>12</xdr:row>
      <xdr:rowOff>122464</xdr:rowOff>
    </xdr:to>
    <xdr:sp macro="" textlink="">
      <xdr:nvSpPr>
        <xdr:cNvPr id="1027" name="Rectangle 3"/>
        <xdr:cNvSpPr>
          <a:spLocks noChangeArrowheads="1"/>
        </xdr:cNvSpPr>
      </xdr:nvSpPr>
      <xdr:spPr bwMode="auto">
        <a:xfrm>
          <a:off x="1918607" y="998765"/>
          <a:ext cx="14001750" cy="1600199"/>
        </a:xfrm>
        <a:prstGeom prst="rect">
          <a:avLst/>
        </a:prstGeom>
        <a:gradFill rotWithShape="1">
          <a:gsLst>
            <a:gs pos="0">
              <a:srgbClr val="FFFF00">
                <a:alpha val="74001"/>
              </a:srgbClr>
            </a:gs>
            <a:gs pos="100000">
              <a:srgbClr val="FF0000"/>
            </a:gs>
          </a:gsLst>
          <a:path path="shape">
            <a:fillToRect l="50000" t="50000" r="50000" b="50000"/>
          </a:path>
        </a:gradFill>
        <a:ln w="9525">
          <a:miter lim="800000"/>
          <a:headEnd/>
          <a:tailEnd/>
        </a:ln>
        <a:effectLst/>
        <a:scene3d>
          <a:camera prst="legacyObliqueTopRight"/>
          <a:lightRig rig="legacyFlat3" dir="b"/>
        </a:scene3d>
        <a:sp3d extrusionH="100000" prstMaterial="legacyMatte">
          <a:bevelT w="13500" h="13500" prst="angle"/>
          <a:bevelB w="13500" h="13500" prst="angle"/>
          <a:extrusionClr>
            <a:srgbClr val="FFFF00"/>
          </a:extrusionClr>
        </a:sp3d>
      </xdr:spPr>
      <xdr:txBody>
        <a:bodyPr vertOverflow="clip" wrap="square" lIns="36576" tIns="27432" rIns="36576" bIns="27432" anchor="ctr" upright="1"/>
        <a:lstStyle/>
        <a:p>
          <a:pPr algn="ctr" rtl="0">
            <a:defRPr sz="1000"/>
          </a:pPr>
          <a:r>
            <a:rPr lang="en-US" sz="2000" b="0" i="0" strike="noStrike">
              <a:solidFill>
                <a:srgbClr val="008000"/>
              </a:solidFill>
              <a:latin typeface="Arial"/>
              <a:cs typeface="Arial"/>
            </a:rPr>
            <a:t>APLIKASI</a:t>
          </a:r>
          <a:endParaRPr lang="en-US" sz="2000" b="0" i="0" strike="noStrike">
            <a:solidFill>
              <a:srgbClr val="003366"/>
            </a:solidFill>
            <a:latin typeface="Arial"/>
            <a:cs typeface="Arial"/>
          </a:endParaRPr>
        </a:p>
        <a:p>
          <a:pPr algn="ctr" rtl="0">
            <a:defRPr sz="1000"/>
          </a:pPr>
          <a:r>
            <a:rPr lang="id-ID" sz="4000" b="1" i="0" strike="noStrike">
              <a:solidFill>
                <a:srgbClr val="000000"/>
              </a:solidFill>
              <a:latin typeface="Haettenschweiler"/>
            </a:rPr>
            <a:t>JUSTIFIKASI</a:t>
          </a:r>
          <a:r>
            <a:rPr lang="id-ID" sz="4000" b="1" i="0" strike="noStrike" baseline="0">
              <a:solidFill>
                <a:srgbClr val="000000"/>
              </a:solidFill>
              <a:latin typeface="Haettenschweiler"/>
            </a:rPr>
            <a:t> </a:t>
          </a:r>
          <a:r>
            <a:rPr lang="id-ID" sz="4000" b="1" i="0" strike="noStrike">
              <a:solidFill>
                <a:srgbClr val="000000"/>
              </a:solidFill>
              <a:latin typeface="Haettenschweiler"/>
            </a:rPr>
            <a:t>ANALISIS</a:t>
          </a:r>
          <a:r>
            <a:rPr lang="id-ID" sz="4000" b="1" i="0" strike="noStrike" baseline="0">
              <a:solidFill>
                <a:srgbClr val="000000"/>
              </a:solidFill>
              <a:latin typeface="Haettenschweiler"/>
            </a:rPr>
            <a:t>  </a:t>
          </a:r>
          <a:r>
            <a:rPr lang="id-ID" sz="4000" b="1" i="0" strike="noStrike">
              <a:solidFill>
                <a:srgbClr val="000000"/>
              </a:solidFill>
              <a:latin typeface="Haettenschweiler"/>
            </a:rPr>
            <a:t>POLA</a:t>
          </a:r>
          <a:r>
            <a:rPr lang="id-ID" sz="4000" b="1" i="0" strike="noStrike" baseline="0">
              <a:solidFill>
                <a:srgbClr val="000000"/>
              </a:solidFill>
              <a:latin typeface="Haettenschweiler"/>
            </a:rPr>
            <a:t>  </a:t>
          </a:r>
          <a:r>
            <a:rPr lang="id-ID" sz="4000" b="1" i="0" strike="noStrike">
              <a:solidFill>
                <a:srgbClr val="000000"/>
              </a:solidFill>
              <a:latin typeface="Haettenschweiler"/>
            </a:rPr>
            <a:t>PANGAN HARAPAN</a:t>
          </a:r>
          <a:r>
            <a:rPr lang="id-ID" sz="4000" b="1" i="0" strike="noStrike" baseline="0">
              <a:solidFill>
                <a:srgbClr val="000000"/>
              </a:solidFill>
              <a:latin typeface="Haettenschweiler"/>
            </a:rPr>
            <a:t> </a:t>
          </a:r>
          <a:endParaRPr lang="id-ID" sz="4000" b="1" i="0" strike="noStrike">
            <a:solidFill>
              <a:srgbClr val="000000"/>
            </a:solidFill>
            <a:latin typeface="Haettenschweiler"/>
          </a:endParaRPr>
        </a:p>
        <a:p>
          <a:pPr algn="ctr" rtl="0">
            <a:defRPr sz="1000"/>
          </a:pPr>
          <a:r>
            <a:rPr lang="id-ID" sz="3000" b="1" i="0" strike="noStrike">
              <a:solidFill>
                <a:srgbClr val="000000"/>
              </a:solidFill>
              <a:latin typeface="Haettenschweiler"/>
            </a:rPr>
            <a:t>BERDASARKAN  DATA  SUSENAS</a:t>
          </a:r>
          <a:endParaRPr lang="en-US" sz="3000" b="1" i="0" strike="noStrike">
            <a:solidFill>
              <a:srgbClr val="000000"/>
            </a:solidFill>
            <a:latin typeface="Haettenschweiler"/>
          </a:endParaRPr>
        </a:p>
      </xdr:txBody>
    </xdr:sp>
    <xdr:clientData/>
  </xdr:twoCellAnchor>
  <xdr:twoCellAnchor editAs="oneCell">
    <xdr:from>
      <xdr:col>4</xdr:col>
      <xdr:colOff>200026</xdr:colOff>
      <xdr:row>20</xdr:row>
      <xdr:rowOff>141390</xdr:rowOff>
    </xdr:from>
    <xdr:to>
      <xdr:col>6</xdr:col>
      <xdr:colOff>506237</xdr:colOff>
      <xdr:row>28</xdr:row>
      <xdr:rowOff>136074</xdr:rowOff>
    </xdr:to>
    <xdr:pic>
      <xdr:nvPicPr>
        <xdr:cNvPr id="5" name="Picture 4" descr="logo pskpg_rotasi(3)"/>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49312" y="4169104"/>
          <a:ext cx="1530854" cy="15595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512988</xdr:colOff>
      <xdr:row>20</xdr:row>
      <xdr:rowOff>136070</xdr:rowOff>
    </xdr:from>
    <xdr:to>
      <xdr:col>24</xdr:col>
      <xdr:colOff>418152</xdr:colOff>
      <xdr:row>28</xdr:row>
      <xdr:rowOff>45354</xdr:rowOff>
    </xdr:to>
    <xdr:pic>
      <xdr:nvPicPr>
        <xdr:cNvPr id="6" name="Picture 5"/>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371738" y="4163784"/>
          <a:ext cx="1742128" cy="14741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371475</xdr:colOff>
      <xdr:row>1</xdr:row>
      <xdr:rowOff>104775</xdr:rowOff>
    </xdr:from>
    <xdr:to>
      <xdr:col>21</xdr:col>
      <xdr:colOff>9525</xdr:colOff>
      <xdr:row>29</xdr:row>
      <xdr:rowOff>9525</xdr:rowOff>
    </xdr:to>
    <xdr:sp macro="" textlink="">
      <xdr:nvSpPr>
        <xdr:cNvPr id="7169" name="Rectangle 1"/>
        <xdr:cNvSpPr>
          <a:spLocks noChangeArrowheads="1"/>
        </xdr:cNvSpPr>
      </xdr:nvSpPr>
      <xdr:spPr bwMode="auto">
        <a:xfrm>
          <a:off x="371475" y="266700"/>
          <a:ext cx="11715750" cy="4438650"/>
        </a:xfrm>
        <a:prstGeom prst="rect">
          <a:avLst/>
        </a:prstGeom>
        <a:noFill/>
        <a:ln w="9525">
          <a:solidFill>
            <a:srgbClr val="000000"/>
          </a:solidFill>
          <a:miter lim="800000"/>
          <a:headEnd/>
          <a:tailEnd/>
        </a:ln>
        <a:effectLst>
          <a:outerShdw dist="107763" dir="18900000" algn="ctr" rotWithShape="0">
            <a:srgbClr val="808080"/>
          </a:outerShdw>
        </a:effec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600075</xdr:colOff>
      <xdr:row>1</xdr:row>
      <xdr:rowOff>133351</xdr:rowOff>
    </xdr:from>
    <xdr:to>
      <xdr:col>8</xdr:col>
      <xdr:colOff>485775</xdr:colOff>
      <xdr:row>22</xdr:row>
      <xdr:rowOff>76201</xdr:rowOff>
    </xdr:to>
    <xdr:sp macro="" textlink="">
      <xdr:nvSpPr>
        <xdr:cNvPr id="5" name="Rectangle 1"/>
        <xdr:cNvSpPr>
          <a:spLocks noChangeArrowheads="1"/>
        </xdr:cNvSpPr>
      </xdr:nvSpPr>
      <xdr:spPr bwMode="auto">
        <a:xfrm>
          <a:off x="600075" y="342901"/>
          <a:ext cx="11353800" cy="4343400"/>
        </a:xfrm>
        <a:prstGeom prst="rect">
          <a:avLst/>
        </a:prstGeom>
        <a:noFill/>
        <a:ln w="9525">
          <a:solidFill>
            <a:srgbClr val="000000"/>
          </a:solidFill>
          <a:miter lim="800000"/>
          <a:headEnd/>
          <a:tailEnd/>
        </a:ln>
        <a:effectLst>
          <a:outerShdw dist="107763" dir="18900000" algn="ctr" rotWithShape="0">
            <a:srgbClr val="808080"/>
          </a:outerShdw>
        </a:effectLst>
      </xdr:spPr>
    </xdr:sp>
    <xdr:clientData/>
  </xdr:twoCellAnchor>
  <mc:AlternateContent xmlns:mc="http://schemas.openxmlformats.org/markup-compatibility/2006">
    <mc:Choice xmlns:a14="http://schemas.microsoft.com/office/drawing/2010/main" Requires="a14">
      <xdr:twoCellAnchor editAs="absolute">
        <xdr:from>
          <xdr:col>2</xdr:col>
          <xdr:colOff>0</xdr:colOff>
          <xdr:row>11</xdr:row>
          <xdr:rowOff>0</xdr:rowOff>
        </xdr:from>
        <xdr:to>
          <xdr:col>3</xdr:col>
          <xdr:colOff>0</xdr:colOff>
          <xdr:row>12</xdr:row>
          <xdr:rowOff>41910</xdr:rowOff>
        </xdr:to>
        <xdr:sp macro="" textlink="">
          <xdr:nvSpPr>
            <xdr:cNvPr id="3074" name="cbbTahun"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6</xdr:row>
          <xdr:rowOff>0</xdr:rowOff>
        </xdr:from>
        <xdr:to>
          <xdr:col>4</xdr:col>
          <xdr:colOff>28575</xdr:colOff>
          <xdr:row>7</xdr:row>
          <xdr:rowOff>38100</xdr:rowOff>
        </xdr:to>
        <xdr:sp macro="" textlink="">
          <xdr:nvSpPr>
            <xdr:cNvPr id="3075" name="cbbWilayah"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12</xdr:row>
          <xdr:rowOff>0</xdr:rowOff>
        </xdr:from>
        <xdr:to>
          <xdr:col>3</xdr:col>
          <xdr:colOff>0</xdr:colOff>
          <xdr:row>13</xdr:row>
          <xdr:rowOff>41910</xdr:rowOff>
        </xdr:to>
        <xdr:sp macro="" textlink="">
          <xdr:nvSpPr>
            <xdr:cNvPr id="3076" name="cbbBasis"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heryatno@hotmail.com"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AB32"/>
  <sheetViews>
    <sheetView topLeftCell="G1" zoomScale="70" zoomScaleNormal="70" workbookViewId="0">
      <selection activeCell="B31" sqref="B31:AB32"/>
    </sheetView>
  </sheetViews>
  <sheetFormatPr defaultRowHeight="15" customHeight="1" x14ac:dyDescent="0.2"/>
  <cols>
    <col min="1" max="16384" width="9.140625" style="2"/>
  </cols>
  <sheetData>
    <row r="3" spans="2:14" ht="15" customHeight="1" x14ac:dyDescent="0.2">
      <c r="B3" s="1"/>
      <c r="C3" s="1"/>
      <c r="D3" s="1"/>
      <c r="E3" s="1"/>
      <c r="F3" s="1"/>
      <c r="G3" s="1"/>
      <c r="H3" s="1"/>
      <c r="I3" s="1"/>
      <c r="J3" s="1"/>
      <c r="K3" s="1"/>
      <c r="L3" s="1"/>
      <c r="M3" s="1"/>
      <c r="N3" s="1"/>
    </row>
    <row r="4" spans="2:14" ht="15" customHeight="1" x14ac:dyDescent="0.2">
      <c r="B4" s="1"/>
      <c r="C4" s="1"/>
      <c r="D4" s="1"/>
      <c r="E4" s="1"/>
      <c r="F4" s="1"/>
      <c r="G4" s="1"/>
      <c r="H4" s="1"/>
      <c r="I4" s="1"/>
      <c r="J4" s="1"/>
      <c r="K4" s="1"/>
      <c r="L4" s="1"/>
      <c r="M4" s="1"/>
      <c r="N4" s="1"/>
    </row>
    <row r="5" spans="2:14" ht="15" customHeight="1" x14ac:dyDescent="0.2">
      <c r="B5" s="1"/>
      <c r="C5" s="1"/>
      <c r="D5" s="1"/>
      <c r="E5" s="1"/>
      <c r="F5" s="1"/>
      <c r="G5" s="1"/>
      <c r="H5" s="1"/>
      <c r="I5" s="1"/>
      <c r="J5" s="1"/>
      <c r="K5" s="1"/>
      <c r="L5" s="1"/>
      <c r="M5" s="1"/>
      <c r="N5" s="1"/>
    </row>
    <row r="6" spans="2:14" ht="15" customHeight="1" x14ac:dyDescent="0.2">
      <c r="B6" s="1"/>
      <c r="C6" s="1"/>
      <c r="D6" s="1"/>
      <c r="E6" s="1"/>
      <c r="F6" s="1"/>
      <c r="G6" s="1"/>
      <c r="H6" s="1"/>
      <c r="I6" s="1"/>
      <c r="J6" s="1"/>
      <c r="K6" s="1"/>
      <c r="L6" s="1"/>
      <c r="M6" s="1"/>
      <c r="N6" s="1"/>
    </row>
    <row r="7" spans="2:14" ht="15" customHeight="1" x14ac:dyDescent="0.2">
      <c r="B7" s="1"/>
      <c r="C7" s="1"/>
      <c r="D7" s="1"/>
      <c r="E7" s="1"/>
      <c r="F7" s="1"/>
      <c r="G7" s="1"/>
      <c r="H7" s="1"/>
      <c r="I7" s="1"/>
      <c r="J7" s="1"/>
      <c r="K7" s="1"/>
      <c r="L7" s="1"/>
      <c r="M7" s="1"/>
      <c r="N7" s="1"/>
    </row>
    <row r="8" spans="2:14" ht="15" customHeight="1" x14ac:dyDescent="0.2">
      <c r="F8" s="342"/>
      <c r="G8" s="342"/>
      <c r="H8" s="342"/>
      <c r="I8" s="342"/>
      <c r="J8" s="342"/>
    </row>
    <row r="9" spans="2:14" ht="15" customHeight="1" x14ac:dyDescent="0.2">
      <c r="F9" s="3"/>
      <c r="G9" s="3"/>
      <c r="H9" s="3"/>
      <c r="I9" s="3"/>
      <c r="J9" s="3"/>
    </row>
    <row r="10" spans="2:14" ht="15" customHeight="1" x14ac:dyDescent="0.2">
      <c r="F10" s="3"/>
      <c r="G10" s="3"/>
      <c r="H10" s="3"/>
      <c r="I10" s="3"/>
      <c r="J10" s="3"/>
    </row>
    <row r="11" spans="2:14" ht="15" customHeight="1" x14ac:dyDescent="0.2">
      <c r="F11" s="3"/>
      <c r="G11" s="3"/>
      <c r="H11" s="3"/>
      <c r="I11" s="3"/>
      <c r="J11" s="3"/>
    </row>
    <row r="12" spans="2:14" ht="15" customHeight="1" x14ac:dyDescent="0.2">
      <c r="B12" s="343"/>
      <c r="C12" s="343"/>
      <c r="D12" s="343"/>
      <c r="E12" s="343"/>
      <c r="F12" s="343"/>
      <c r="G12" s="343"/>
      <c r="H12" s="343"/>
      <c r="I12" s="343"/>
      <c r="J12" s="343"/>
      <c r="K12" s="343"/>
      <c r="L12" s="343"/>
      <c r="M12" s="343"/>
      <c r="N12" s="343"/>
    </row>
    <row r="13" spans="2:14" ht="15" customHeight="1" x14ac:dyDescent="0.2">
      <c r="B13" s="343"/>
      <c r="C13" s="343"/>
      <c r="D13" s="343"/>
      <c r="E13" s="343"/>
      <c r="F13" s="343"/>
      <c r="G13" s="343"/>
      <c r="H13" s="343"/>
      <c r="I13" s="343"/>
      <c r="J13" s="343"/>
      <c r="K13" s="343"/>
      <c r="L13" s="343"/>
      <c r="M13" s="343"/>
      <c r="N13" s="343"/>
    </row>
    <row r="14" spans="2:14" ht="15" customHeight="1" x14ac:dyDescent="0.25">
      <c r="B14" s="6"/>
      <c r="C14" s="6"/>
      <c r="D14" s="6"/>
      <c r="E14" s="6"/>
      <c r="F14" s="6"/>
      <c r="G14" s="6"/>
      <c r="H14" s="6"/>
      <c r="I14" s="6"/>
      <c r="J14" s="6"/>
      <c r="K14" s="6"/>
      <c r="L14" s="6"/>
      <c r="M14" s="6"/>
      <c r="N14" s="6"/>
    </row>
    <row r="15" spans="2:14" ht="15" customHeight="1" x14ac:dyDescent="0.25">
      <c r="B15" s="6"/>
      <c r="C15" s="6"/>
      <c r="D15" s="6"/>
      <c r="E15" s="6"/>
      <c r="F15" s="6"/>
      <c r="G15" s="6"/>
      <c r="H15" s="6"/>
      <c r="I15" s="6"/>
      <c r="J15" s="6"/>
      <c r="K15" s="6"/>
      <c r="L15" s="6"/>
      <c r="M15" s="6"/>
      <c r="N15" s="6"/>
    </row>
    <row r="16" spans="2:14" ht="15" customHeight="1" x14ac:dyDescent="0.35">
      <c r="B16" s="223"/>
      <c r="C16" s="223"/>
      <c r="D16" s="223"/>
      <c r="E16" s="223"/>
      <c r="F16" s="223"/>
      <c r="G16" s="223"/>
      <c r="H16" s="223"/>
      <c r="I16" s="223"/>
      <c r="J16" s="223"/>
      <c r="K16" s="223"/>
      <c r="L16" s="223"/>
      <c r="M16" s="223"/>
      <c r="N16" s="223"/>
    </row>
    <row r="17" spans="2:28" ht="17.25" customHeight="1" x14ac:dyDescent="0.3">
      <c r="B17" s="344" t="s">
        <v>444</v>
      </c>
      <c r="C17" s="344"/>
      <c r="D17" s="344"/>
      <c r="E17" s="344"/>
      <c r="F17" s="344"/>
      <c r="G17" s="344"/>
      <c r="H17" s="344"/>
      <c r="I17" s="344"/>
      <c r="J17" s="344"/>
      <c r="K17" s="344"/>
      <c r="L17" s="344"/>
      <c r="M17" s="344"/>
      <c r="N17" s="344"/>
      <c r="O17" s="344"/>
      <c r="P17" s="344"/>
      <c r="Q17" s="344"/>
      <c r="R17" s="344"/>
      <c r="S17" s="344"/>
      <c r="T17" s="344"/>
      <c r="U17" s="344"/>
      <c r="V17" s="344"/>
      <c r="W17" s="344"/>
      <c r="X17" s="344"/>
      <c r="Y17" s="344"/>
      <c r="Z17" s="344"/>
      <c r="AA17" s="344"/>
      <c r="AB17" s="344"/>
    </row>
    <row r="18" spans="2:28" ht="15" customHeight="1" x14ac:dyDescent="0.3">
      <c r="B18" s="308"/>
      <c r="C18" s="308"/>
      <c r="D18" s="308"/>
      <c r="E18" s="308"/>
      <c r="F18" s="308"/>
      <c r="G18" s="308"/>
      <c r="H18" s="308"/>
      <c r="I18" s="308"/>
      <c r="J18" s="308"/>
      <c r="K18" s="308"/>
      <c r="L18" s="308"/>
      <c r="M18" s="308"/>
      <c r="N18" s="308"/>
      <c r="O18" s="308"/>
      <c r="P18" s="308"/>
      <c r="Q18" s="308"/>
      <c r="R18" s="308"/>
      <c r="S18" s="308"/>
      <c r="T18" s="308"/>
    </row>
    <row r="19" spans="2:28" ht="15" customHeight="1" x14ac:dyDescent="0.2">
      <c r="B19" s="345" t="s">
        <v>378</v>
      </c>
      <c r="C19" s="345"/>
      <c r="D19" s="345"/>
      <c r="E19" s="345"/>
      <c r="F19" s="345"/>
      <c r="G19" s="345"/>
      <c r="H19" s="345"/>
      <c r="I19" s="345"/>
      <c r="J19" s="345"/>
      <c r="K19" s="345"/>
      <c r="L19" s="345"/>
      <c r="M19" s="345"/>
      <c r="N19" s="345"/>
      <c r="O19" s="345"/>
      <c r="P19" s="345"/>
      <c r="Q19" s="345"/>
      <c r="R19" s="345"/>
      <c r="S19" s="345"/>
      <c r="T19" s="345"/>
      <c r="U19" s="345"/>
      <c r="V19" s="345"/>
      <c r="W19" s="345"/>
      <c r="X19" s="345"/>
      <c r="Y19" s="345"/>
      <c r="Z19" s="345"/>
      <c r="AA19" s="345"/>
      <c r="AB19" s="345"/>
    </row>
    <row r="20" spans="2:28" ht="15" customHeight="1" x14ac:dyDescent="0.2">
      <c r="B20" s="345"/>
      <c r="C20" s="345"/>
      <c r="D20" s="345"/>
      <c r="E20" s="345"/>
      <c r="F20" s="345"/>
      <c r="G20" s="345"/>
      <c r="H20" s="345"/>
      <c r="I20" s="345"/>
      <c r="J20" s="345"/>
      <c r="K20" s="345"/>
      <c r="L20" s="345"/>
      <c r="M20" s="345"/>
      <c r="N20" s="345"/>
      <c r="O20" s="345"/>
      <c r="P20" s="345"/>
      <c r="Q20" s="345"/>
      <c r="R20" s="345"/>
      <c r="S20" s="345"/>
      <c r="T20" s="345"/>
      <c r="U20" s="345"/>
      <c r="V20" s="345"/>
      <c r="W20" s="345"/>
      <c r="X20" s="345"/>
      <c r="Y20" s="345"/>
      <c r="Z20" s="345"/>
      <c r="AA20" s="345"/>
      <c r="AB20" s="345"/>
    </row>
    <row r="21" spans="2:28" ht="15" customHeight="1" x14ac:dyDescent="0.2">
      <c r="B21" s="340" t="s">
        <v>379</v>
      </c>
      <c r="C21" s="340"/>
      <c r="D21" s="340"/>
      <c r="E21" s="340"/>
      <c r="F21" s="340"/>
      <c r="G21" s="340"/>
      <c r="H21" s="340"/>
      <c r="I21" s="340"/>
      <c r="J21" s="340"/>
      <c r="K21" s="340"/>
      <c r="L21" s="340"/>
      <c r="M21" s="340"/>
      <c r="N21" s="340"/>
      <c r="O21" s="340"/>
      <c r="P21" s="340"/>
      <c r="Q21" s="340"/>
      <c r="R21" s="340"/>
      <c r="S21" s="340"/>
      <c r="T21" s="340"/>
      <c r="U21" s="340"/>
      <c r="V21" s="340"/>
      <c r="W21" s="340"/>
      <c r="X21" s="340"/>
      <c r="Y21" s="340"/>
      <c r="Z21" s="340"/>
      <c r="AA21" s="340"/>
      <c r="AB21" s="340"/>
    </row>
    <row r="22" spans="2:28" ht="15" customHeight="1" x14ac:dyDescent="0.2">
      <c r="B22" s="340"/>
      <c r="C22" s="340"/>
      <c r="D22" s="340"/>
      <c r="E22" s="340"/>
      <c r="F22" s="340"/>
      <c r="G22" s="340"/>
      <c r="H22" s="340"/>
      <c r="I22" s="340"/>
      <c r="J22" s="340"/>
      <c r="K22" s="340"/>
      <c r="L22" s="340"/>
      <c r="M22" s="340"/>
      <c r="N22" s="340"/>
      <c r="O22" s="340"/>
      <c r="P22" s="340"/>
      <c r="Q22" s="340"/>
      <c r="R22" s="340"/>
      <c r="S22" s="340"/>
      <c r="T22" s="340"/>
      <c r="U22" s="340"/>
      <c r="V22" s="340"/>
      <c r="W22" s="340"/>
      <c r="X22" s="340"/>
      <c r="Y22" s="340"/>
      <c r="Z22" s="340"/>
      <c r="AA22" s="340"/>
      <c r="AB22" s="340"/>
    </row>
    <row r="23" spans="2:28" ht="15" customHeight="1" x14ac:dyDescent="0.35">
      <c r="B23" s="224"/>
      <c r="C23" s="224"/>
      <c r="D23" s="224"/>
      <c r="E23" s="224"/>
      <c r="F23" s="224"/>
      <c r="G23" s="224"/>
      <c r="H23" s="224"/>
      <c r="I23" s="224"/>
      <c r="J23" s="224"/>
      <c r="K23" s="224"/>
      <c r="L23" s="224"/>
      <c r="M23" s="224"/>
      <c r="N23" s="224"/>
      <c r="O23" s="224"/>
      <c r="P23" s="224"/>
      <c r="Q23" s="224"/>
      <c r="R23" s="224"/>
      <c r="S23" s="224"/>
      <c r="T23" s="224"/>
      <c r="U23" s="224"/>
      <c r="V23" s="224"/>
      <c r="W23" s="224"/>
      <c r="X23" s="224"/>
      <c r="Y23" s="224"/>
      <c r="Z23" s="224"/>
      <c r="AA23" s="224"/>
      <c r="AB23" s="224"/>
    </row>
    <row r="24" spans="2:28" ht="18" customHeight="1" x14ac:dyDescent="0.3">
      <c r="B24" s="344" t="s">
        <v>445</v>
      </c>
      <c r="C24" s="344"/>
      <c r="D24" s="344"/>
      <c r="E24" s="344"/>
      <c r="F24" s="344"/>
      <c r="G24" s="344"/>
      <c r="H24" s="344"/>
      <c r="I24" s="344"/>
      <c r="J24" s="344"/>
      <c r="K24" s="344"/>
      <c r="L24" s="344"/>
      <c r="M24" s="344"/>
      <c r="N24" s="344"/>
      <c r="O24" s="344"/>
      <c r="P24" s="344"/>
      <c r="Q24" s="344"/>
      <c r="R24" s="344"/>
      <c r="S24" s="344"/>
      <c r="T24" s="344"/>
      <c r="U24" s="344"/>
      <c r="V24" s="344"/>
      <c r="W24" s="344"/>
      <c r="X24" s="344"/>
      <c r="Y24" s="344"/>
      <c r="Z24" s="344"/>
      <c r="AA24" s="344"/>
      <c r="AB24" s="344"/>
    </row>
    <row r="25" spans="2:28" ht="15" customHeight="1" x14ac:dyDescent="0.3">
      <c r="B25" s="308"/>
      <c r="C25" s="308"/>
      <c r="D25" s="308"/>
      <c r="E25" s="308"/>
      <c r="F25" s="308"/>
      <c r="G25" s="308"/>
      <c r="H25" s="308"/>
      <c r="I25" s="308"/>
      <c r="J25" s="308"/>
      <c r="K25" s="308"/>
      <c r="L25" s="308"/>
      <c r="M25" s="308"/>
      <c r="N25" s="308"/>
      <c r="O25" s="308"/>
      <c r="P25" s="308"/>
      <c r="Q25" s="308"/>
      <c r="R25" s="308"/>
      <c r="S25" s="308"/>
      <c r="T25" s="308"/>
    </row>
    <row r="26" spans="2:28" ht="15" customHeight="1" x14ac:dyDescent="0.2">
      <c r="B26" s="345" t="s">
        <v>468</v>
      </c>
      <c r="C26" s="345"/>
      <c r="D26" s="345"/>
      <c r="E26" s="345"/>
      <c r="F26" s="345"/>
      <c r="G26" s="345"/>
      <c r="H26" s="345"/>
      <c r="I26" s="345"/>
      <c r="J26" s="345"/>
      <c r="K26" s="345"/>
      <c r="L26" s="345"/>
      <c r="M26" s="345"/>
      <c r="N26" s="345"/>
      <c r="O26" s="345"/>
      <c r="P26" s="345"/>
      <c r="Q26" s="345"/>
      <c r="R26" s="345"/>
      <c r="S26" s="345"/>
      <c r="T26" s="345"/>
      <c r="U26" s="345"/>
      <c r="V26" s="345"/>
      <c r="W26" s="345"/>
      <c r="X26" s="345"/>
      <c r="Y26" s="345"/>
      <c r="Z26" s="345"/>
      <c r="AA26" s="345"/>
      <c r="AB26" s="345"/>
    </row>
    <row r="27" spans="2:28" ht="15" customHeight="1" x14ac:dyDescent="0.2">
      <c r="B27" s="345"/>
      <c r="C27" s="345"/>
      <c r="D27" s="345"/>
      <c r="E27" s="345"/>
      <c r="F27" s="345"/>
      <c r="G27" s="345"/>
      <c r="H27" s="345"/>
      <c r="I27" s="345"/>
      <c r="J27" s="345"/>
      <c r="K27" s="345"/>
      <c r="L27" s="345"/>
      <c r="M27" s="345"/>
      <c r="N27" s="345"/>
      <c r="O27" s="345"/>
      <c r="P27" s="345"/>
      <c r="Q27" s="345"/>
      <c r="R27" s="345"/>
      <c r="S27" s="345"/>
      <c r="T27" s="345"/>
      <c r="U27" s="345"/>
      <c r="V27" s="345"/>
      <c r="W27" s="345"/>
      <c r="X27" s="345"/>
      <c r="Y27" s="345"/>
      <c r="Z27" s="345"/>
      <c r="AA27" s="345"/>
      <c r="AB27" s="345"/>
    </row>
    <row r="28" spans="2:28" ht="15" customHeight="1" x14ac:dyDescent="0.2">
      <c r="B28" s="340" t="s">
        <v>469</v>
      </c>
      <c r="C28" s="340"/>
      <c r="D28" s="340"/>
      <c r="E28" s="340"/>
      <c r="F28" s="340"/>
      <c r="G28" s="340"/>
      <c r="H28" s="340"/>
      <c r="I28" s="340"/>
      <c r="J28" s="340"/>
      <c r="K28" s="340"/>
      <c r="L28" s="340"/>
      <c r="M28" s="340"/>
      <c r="N28" s="340"/>
      <c r="O28" s="340"/>
      <c r="P28" s="340"/>
      <c r="Q28" s="340"/>
      <c r="R28" s="340"/>
      <c r="S28" s="340"/>
      <c r="T28" s="340"/>
      <c r="U28" s="340"/>
      <c r="V28" s="340"/>
      <c r="W28" s="340"/>
      <c r="X28" s="340"/>
      <c r="Y28" s="340"/>
      <c r="Z28" s="340"/>
      <c r="AA28" s="340"/>
      <c r="AB28" s="340"/>
    </row>
    <row r="29" spans="2:28" ht="15" customHeight="1" x14ac:dyDescent="0.2">
      <c r="B29" s="340"/>
      <c r="C29" s="340"/>
      <c r="D29" s="340"/>
      <c r="E29" s="340"/>
      <c r="F29" s="340"/>
      <c r="G29" s="340"/>
      <c r="H29" s="340"/>
      <c r="I29" s="340"/>
      <c r="J29" s="340"/>
      <c r="K29" s="340"/>
      <c r="L29" s="340"/>
      <c r="M29" s="340"/>
      <c r="N29" s="340"/>
      <c r="O29" s="340"/>
      <c r="P29" s="340"/>
      <c r="Q29" s="340"/>
      <c r="R29" s="340"/>
      <c r="S29" s="340"/>
      <c r="T29" s="340"/>
      <c r="U29" s="340"/>
      <c r="V29" s="340"/>
      <c r="W29" s="340"/>
      <c r="X29" s="340"/>
      <c r="Y29" s="340"/>
      <c r="Z29" s="340"/>
      <c r="AA29" s="340"/>
      <c r="AB29" s="340"/>
    </row>
    <row r="30" spans="2:28" ht="15" customHeight="1" x14ac:dyDescent="0.35">
      <c r="B30" s="224"/>
      <c r="C30" s="224"/>
      <c r="D30" s="224"/>
      <c r="E30" s="224"/>
      <c r="F30" s="224"/>
      <c r="G30" s="224"/>
      <c r="H30" s="224"/>
      <c r="I30" s="224"/>
      <c r="J30" s="224"/>
      <c r="K30" s="224"/>
      <c r="L30" s="224"/>
      <c r="M30" s="224"/>
      <c r="N30" s="224"/>
      <c r="O30" s="224"/>
      <c r="P30" s="224"/>
      <c r="Q30" s="224"/>
      <c r="R30" s="224"/>
      <c r="S30" s="224"/>
      <c r="T30" s="224"/>
      <c r="U30" s="224"/>
      <c r="V30" s="224"/>
      <c r="W30" s="224"/>
      <c r="X30" s="224"/>
      <c r="Y30" s="224"/>
      <c r="Z30" s="224"/>
      <c r="AA30" s="224"/>
      <c r="AB30" s="224"/>
    </row>
    <row r="31" spans="2:28" ht="15" customHeight="1" x14ac:dyDescent="0.2">
      <c r="B31" s="341" t="s">
        <v>476</v>
      </c>
      <c r="C31" s="341"/>
      <c r="D31" s="341"/>
      <c r="E31" s="341"/>
      <c r="F31" s="341"/>
      <c r="G31" s="341"/>
      <c r="H31" s="341"/>
      <c r="I31" s="341"/>
      <c r="J31" s="341"/>
      <c r="K31" s="341"/>
      <c r="L31" s="341"/>
      <c r="M31" s="341"/>
      <c r="N31" s="341"/>
      <c r="O31" s="341"/>
      <c r="P31" s="341"/>
      <c r="Q31" s="341"/>
      <c r="R31" s="341"/>
      <c r="S31" s="341"/>
      <c r="T31" s="341"/>
      <c r="U31" s="341"/>
      <c r="V31" s="341"/>
      <c r="W31" s="341"/>
      <c r="X31" s="341"/>
      <c r="Y31" s="341"/>
      <c r="Z31" s="341"/>
      <c r="AA31" s="341"/>
      <c r="AB31" s="341"/>
    </row>
    <row r="32" spans="2:28" ht="15" customHeight="1" x14ac:dyDescent="0.2">
      <c r="B32" s="341"/>
      <c r="C32" s="341"/>
      <c r="D32" s="341"/>
      <c r="E32" s="341"/>
      <c r="F32" s="341"/>
      <c r="G32" s="341"/>
      <c r="H32" s="341"/>
      <c r="I32" s="341"/>
      <c r="J32" s="341"/>
      <c r="K32" s="341"/>
      <c r="L32" s="341"/>
      <c r="M32" s="341"/>
      <c r="N32" s="341"/>
      <c r="O32" s="341"/>
      <c r="P32" s="341"/>
      <c r="Q32" s="341"/>
      <c r="R32" s="341"/>
      <c r="S32" s="341"/>
      <c r="T32" s="341"/>
      <c r="U32" s="341"/>
      <c r="V32" s="341"/>
      <c r="W32" s="341"/>
      <c r="X32" s="341"/>
      <c r="Y32" s="341"/>
      <c r="Z32" s="341"/>
      <c r="AA32" s="341"/>
      <c r="AB32" s="341"/>
    </row>
  </sheetData>
  <mergeCells count="9">
    <mergeCell ref="B28:AB29"/>
    <mergeCell ref="B31:AB32"/>
    <mergeCell ref="F8:J8"/>
    <mergeCell ref="B12:N13"/>
    <mergeCell ref="B17:AB17"/>
    <mergeCell ref="B19:AB20"/>
    <mergeCell ref="B21:AB22"/>
    <mergeCell ref="B24:AB24"/>
    <mergeCell ref="B26:AB27"/>
  </mergeCells>
  <phoneticPr fontId="0" type="noConversion"/>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3:T27"/>
  <sheetViews>
    <sheetView topLeftCell="C1" workbookViewId="0">
      <selection activeCell="P33" sqref="P33"/>
    </sheetView>
  </sheetViews>
  <sheetFormatPr defaultRowHeight="12.75" x14ac:dyDescent="0.2"/>
  <cols>
    <col min="1" max="2" width="9.140625" style="9"/>
    <col min="3" max="3" width="3.28515625" style="9" customWidth="1"/>
    <col min="4" max="4" width="4.7109375" style="9" customWidth="1"/>
    <col min="5" max="13" width="9.140625" style="9"/>
    <col min="14" max="14" width="8.5703125" style="9" customWidth="1"/>
    <col min="15" max="16384" width="9.140625" style="9"/>
  </cols>
  <sheetData>
    <row r="3" spans="2:20" ht="12.75" customHeight="1" x14ac:dyDescent="0.2">
      <c r="B3" s="111"/>
      <c r="C3" s="112"/>
      <c r="D3" s="112"/>
      <c r="E3" s="112"/>
      <c r="F3" s="112"/>
      <c r="G3" s="112"/>
      <c r="H3" s="112"/>
      <c r="I3" s="112"/>
      <c r="J3" s="112"/>
      <c r="K3" s="112"/>
      <c r="L3" s="112"/>
      <c r="M3" s="112"/>
      <c r="N3" s="112"/>
    </row>
    <row r="4" spans="2:20" ht="12.75" customHeight="1" x14ac:dyDescent="0.2">
      <c r="B4" s="112"/>
      <c r="C4" s="113" t="s">
        <v>399</v>
      </c>
      <c r="D4" s="112"/>
      <c r="E4" s="112"/>
      <c r="F4" s="112"/>
      <c r="G4" s="112"/>
      <c r="H4" s="112"/>
      <c r="I4" s="112"/>
      <c r="J4" s="112"/>
      <c r="K4" s="112"/>
      <c r="L4" s="112"/>
      <c r="M4" s="112"/>
      <c r="N4" s="112"/>
    </row>
    <row r="5" spans="2:20" ht="12.75" customHeight="1" x14ac:dyDescent="0.2">
      <c r="B5" s="114"/>
      <c r="C5" s="115" t="s">
        <v>212</v>
      </c>
      <c r="D5" s="347" t="s">
        <v>398</v>
      </c>
      <c r="E5" s="347"/>
      <c r="F5" s="347"/>
      <c r="G5" s="347"/>
      <c r="H5" s="347"/>
      <c r="I5" s="347"/>
      <c r="J5" s="347"/>
      <c r="K5" s="347"/>
      <c r="L5" s="347"/>
      <c r="M5" s="347"/>
      <c r="N5" s="347"/>
      <c r="O5" s="347"/>
      <c r="P5" s="347"/>
      <c r="Q5" s="347"/>
      <c r="R5" s="347"/>
      <c r="S5" s="347"/>
      <c r="T5" s="347"/>
    </row>
    <row r="6" spans="2:20" ht="12.75" customHeight="1" x14ac:dyDescent="0.2">
      <c r="B6" s="116"/>
      <c r="C6" s="117"/>
      <c r="D6" s="347"/>
      <c r="E6" s="347"/>
      <c r="F6" s="347"/>
      <c r="G6" s="347"/>
      <c r="H6" s="347"/>
      <c r="I6" s="347"/>
      <c r="J6" s="347"/>
      <c r="K6" s="347"/>
      <c r="L6" s="347"/>
      <c r="M6" s="347"/>
      <c r="N6" s="347"/>
      <c r="O6" s="347"/>
      <c r="P6" s="347"/>
      <c r="Q6" s="347"/>
      <c r="R6" s="347"/>
      <c r="S6" s="347"/>
      <c r="T6" s="347"/>
    </row>
    <row r="7" spans="2:20" ht="12.75" customHeight="1" x14ac:dyDescent="0.2">
      <c r="B7" s="116"/>
      <c r="C7" s="117">
        <v>2</v>
      </c>
      <c r="D7" s="346" t="s">
        <v>456</v>
      </c>
      <c r="E7" s="346"/>
      <c r="F7" s="346"/>
      <c r="G7" s="346"/>
      <c r="H7" s="346"/>
      <c r="I7" s="346"/>
      <c r="J7" s="346"/>
      <c r="K7" s="346"/>
      <c r="L7" s="346"/>
      <c r="M7" s="346"/>
      <c r="N7" s="346"/>
      <c r="O7" s="346"/>
      <c r="P7" s="346"/>
      <c r="Q7" s="346"/>
      <c r="R7" s="346"/>
      <c r="S7" s="346"/>
      <c r="T7" s="346"/>
    </row>
    <row r="8" spans="2:20" ht="12.75" customHeight="1" x14ac:dyDescent="0.2">
      <c r="B8" s="116"/>
      <c r="C8" s="117"/>
      <c r="D8" s="346"/>
      <c r="E8" s="346"/>
      <c r="F8" s="346"/>
      <c r="G8" s="346"/>
      <c r="H8" s="346"/>
      <c r="I8" s="346"/>
      <c r="J8" s="346"/>
      <c r="K8" s="346"/>
      <c r="L8" s="346"/>
      <c r="M8" s="346"/>
      <c r="N8" s="346"/>
      <c r="O8" s="346"/>
      <c r="P8" s="346"/>
      <c r="Q8" s="346"/>
      <c r="R8" s="346"/>
      <c r="S8" s="346"/>
      <c r="T8" s="346"/>
    </row>
    <row r="9" spans="2:20" ht="3" customHeight="1" x14ac:dyDescent="0.2">
      <c r="B9" s="116"/>
      <c r="C9" s="117"/>
      <c r="D9" s="346"/>
      <c r="E9" s="346"/>
      <c r="F9" s="346"/>
      <c r="G9" s="346"/>
      <c r="H9" s="346"/>
      <c r="I9" s="346"/>
      <c r="J9" s="346"/>
      <c r="K9" s="346"/>
      <c r="L9" s="346"/>
      <c r="M9" s="346"/>
      <c r="N9" s="346"/>
      <c r="O9" s="346"/>
      <c r="P9" s="346"/>
      <c r="Q9" s="346"/>
      <c r="R9" s="346"/>
      <c r="S9" s="346"/>
      <c r="T9" s="346"/>
    </row>
    <row r="10" spans="2:20" ht="12.75" customHeight="1" x14ac:dyDescent="0.2">
      <c r="B10" s="116"/>
      <c r="C10" s="117">
        <v>3</v>
      </c>
      <c r="D10" s="346" t="s">
        <v>446</v>
      </c>
      <c r="E10" s="346"/>
      <c r="F10" s="346"/>
      <c r="G10" s="346"/>
      <c r="H10" s="346"/>
      <c r="I10" s="346"/>
      <c r="J10" s="346"/>
      <c r="K10" s="346"/>
      <c r="L10" s="346"/>
      <c r="M10" s="346"/>
      <c r="N10" s="346"/>
      <c r="O10" s="346"/>
      <c r="P10" s="346"/>
      <c r="Q10" s="346"/>
      <c r="R10" s="346"/>
      <c r="S10" s="346"/>
      <c r="T10" s="346"/>
    </row>
    <row r="11" spans="2:20" ht="12.75" customHeight="1" x14ac:dyDescent="0.2">
      <c r="B11" s="116"/>
      <c r="C11" s="117"/>
      <c r="D11" s="346"/>
      <c r="E11" s="346"/>
      <c r="F11" s="346"/>
      <c r="G11" s="346"/>
      <c r="H11" s="346"/>
      <c r="I11" s="346"/>
      <c r="J11" s="346"/>
      <c r="K11" s="346"/>
      <c r="L11" s="346"/>
      <c r="M11" s="346"/>
      <c r="N11" s="346"/>
      <c r="O11" s="346"/>
      <c r="P11" s="346"/>
      <c r="Q11" s="346"/>
      <c r="R11" s="346"/>
      <c r="S11" s="346"/>
      <c r="T11" s="346"/>
    </row>
    <row r="12" spans="2:20" ht="12.75" customHeight="1" x14ac:dyDescent="0.2">
      <c r="B12" s="116"/>
      <c r="C12" s="117"/>
      <c r="D12" s="346"/>
      <c r="E12" s="346"/>
      <c r="F12" s="346"/>
      <c r="G12" s="346"/>
      <c r="H12" s="346"/>
      <c r="I12" s="346"/>
      <c r="J12" s="346"/>
      <c r="K12" s="346"/>
      <c r="L12" s="346"/>
      <c r="M12" s="346"/>
      <c r="N12" s="346"/>
      <c r="O12" s="346"/>
      <c r="P12" s="346"/>
      <c r="Q12" s="346"/>
      <c r="R12" s="346"/>
      <c r="S12" s="346"/>
      <c r="T12" s="346"/>
    </row>
    <row r="13" spans="2:20" ht="12.75" customHeight="1" x14ac:dyDescent="0.2">
      <c r="B13" s="116"/>
      <c r="C13" s="118" t="s">
        <v>213</v>
      </c>
      <c r="D13" s="346" t="s">
        <v>447</v>
      </c>
      <c r="E13" s="346"/>
      <c r="F13" s="346"/>
      <c r="G13" s="346"/>
      <c r="H13" s="346"/>
      <c r="I13" s="346"/>
      <c r="J13" s="346"/>
      <c r="K13" s="346"/>
      <c r="L13" s="346"/>
      <c r="M13" s="346"/>
      <c r="N13" s="346"/>
      <c r="O13" s="346"/>
      <c r="P13" s="346"/>
      <c r="Q13" s="346"/>
      <c r="R13" s="346"/>
      <c r="S13" s="346"/>
      <c r="T13" s="346"/>
    </row>
    <row r="14" spans="2:20" ht="12.75" customHeight="1" x14ac:dyDescent="0.2">
      <c r="B14" s="119"/>
      <c r="C14" s="117"/>
      <c r="D14" s="346"/>
      <c r="E14" s="346"/>
      <c r="F14" s="346"/>
      <c r="G14" s="346"/>
      <c r="H14" s="346"/>
      <c r="I14" s="346"/>
      <c r="J14" s="346"/>
      <c r="K14" s="346"/>
      <c r="L14" s="346"/>
      <c r="M14" s="346"/>
      <c r="N14" s="346"/>
      <c r="O14" s="346"/>
      <c r="P14" s="346"/>
      <c r="Q14" s="346"/>
      <c r="R14" s="346"/>
      <c r="S14" s="346"/>
      <c r="T14" s="346"/>
    </row>
    <row r="15" spans="2:20" ht="12.75" customHeight="1" x14ac:dyDescent="0.2">
      <c r="B15" s="119"/>
      <c r="C15" s="117"/>
      <c r="D15" s="120"/>
      <c r="E15" s="120"/>
      <c r="F15" s="120"/>
      <c r="G15" s="120"/>
      <c r="H15" s="120"/>
      <c r="I15" s="120"/>
      <c r="J15" s="120"/>
      <c r="K15" s="120"/>
      <c r="L15" s="120"/>
      <c r="M15" s="120"/>
      <c r="N15" s="120"/>
    </row>
    <row r="16" spans="2:20" ht="12.75" customHeight="1" x14ac:dyDescent="0.2">
      <c r="B16" s="119"/>
      <c r="C16" s="19" t="s">
        <v>414</v>
      </c>
      <c r="D16" s="119"/>
      <c r="E16" s="119"/>
      <c r="F16" s="119"/>
      <c r="I16" s="119"/>
      <c r="J16" s="19"/>
      <c r="K16" s="119"/>
      <c r="L16" s="119"/>
      <c r="M16" s="119"/>
      <c r="N16" s="119"/>
    </row>
    <row r="17" spans="2:16" ht="12.75" customHeight="1" x14ac:dyDescent="0.2">
      <c r="B17" s="119"/>
      <c r="C17" s="119" t="s">
        <v>448</v>
      </c>
      <c r="D17" s="119"/>
      <c r="E17" s="119"/>
      <c r="F17" s="119"/>
      <c r="G17" s="119"/>
      <c r="K17" s="119" t="s">
        <v>470</v>
      </c>
      <c r="L17" s="119"/>
      <c r="M17" s="119"/>
      <c r="N17" s="119"/>
      <c r="P17" s="119" t="s">
        <v>471</v>
      </c>
    </row>
    <row r="18" spans="2:16" ht="12.75" customHeight="1" x14ac:dyDescent="0.2">
      <c r="B18" s="119"/>
      <c r="C18" s="119" t="s">
        <v>449</v>
      </c>
      <c r="D18" s="119"/>
      <c r="E18" s="119"/>
      <c r="F18" s="119"/>
      <c r="G18" s="119"/>
      <c r="K18" s="119" t="s">
        <v>451</v>
      </c>
      <c r="L18" s="119"/>
      <c r="M18" s="119"/>
      <c r="N18" s="119"/>
      <c r="P18" s="119" t="s">
        <v>453</v>
      </c>
    </row>
    <row r="19" spans="2:16" ht="12.75" customHeight="1" x14ac:dyDescent="0.2">
      <c r="B19" s="119"/>
      <c r="C19" s="119" t="s">
        <v>450</v>
      </c>
      <c r="D19" s="119"/>
      <c r="E19" s="119"/>
      <c r="F19" s="119"/>
      <c r="G19" s="119"/>
      <c r="K19" s="119" t="s">
        <v>452</v>
      </c>
      <c r="L19" s="119"/>
      <c r="M19" s="119"/>
      <c r="N19" s="119"/>
      <c r="P19" s="119" t="s">
        <v>454</v>
      </c>
    </row>
    <row r="20" spans="2:16" ht="12.75" customHeight="1" x14ac:dyDescent="0.2">
      <c r="B20" s="119"/>
      <c r="C20" s="119"/>
      <c r="D20" s="119"/>
      <c r="E20" s="119"/>
      <c r="F20" s="119"/>
      <c r="G20" s="119"/>
      <c r="J20" s="119"/>
      <c r="K20" s="119"/>
      <c r="M20" s="119"/>
      <c r="N20" s="119"/>
    </row>
    <row r="21" spans="2:16" ht="12.75" customHeight="1" x14ac:dyDescent="0.2">
      <c r="B21" s="119"/>
      <c r="C21" s="19" t="s">
        <v>415</v>
      </c>
      <c r="D21" s="119"/>
      <c r="E21" s="119"/>
      <c r="F21" s="119"/>
      <c r="G21" s="119"/>
      <c r="J21" s="119"/>
      <c r="K21" s="119"/>
      <c r="M21" s="119"/>
      <c r="N21" s="119"/>
    </row>
    <row r="22" spans="2:16" ht="12.75" customHeight="1" x14ac:dyDescent="0.2">
      <c r="B22" s="119"/>
      <c r="C22" s="119" t="s">
        <v>413</v>
      </c>
      <c r="D22" s="119"/>
      <c r="E22" s="119"/>
      <c r="F22" s="119"/>
      <c r="G22" s="119"/>
      <c r="H22" s="119"/>
      <c r="I22" s="119"/>
      <c r="J22" s="119"/>
      <c r="K22" s="119"/>
      <c r="L22" s="119"/>
      <c r="M22" s="119"/>
      <c r="N22" s="119"/>
    </row>
    <row r="23" spans="2:16" ht="12.75" customHeight="1" x14ac:dyDescent="0.2">
      <c r="B23" s="119"/>
      <c r="C23" s="119" t="s">
        <v>376</v>
      </c>
      <c r="D23" s="119"/>
      <c r="E23" s="119"/>
      <c r="F23" s="119"/>
      <c r="G23" s="119"/>
      <c r="H23" s="119"/>
      <c r="I23" s="119"/>
      <c r="J23" s="119"/>
      <c r="K23" s="119"/>
      <c r="L23" s="119"/>
      <c r="M23" s="119"/>
      <c r="N23" s="119"/>
    </row>
    <row r="24" spans="2:16" x14ac:dyDescent="0.2">
      <c r="B24" s="114"/>
      <c r="C24" s="114" t="s">
        <v>377</v>
      </c>
      <c r="D24" s="114"/>
      <c r="E24" s="114"/>
      <c r="F24" s="114"/>
      <c r="G24" s="114"/>
      <c r="H24" s="114"/>
      <c r="I24" s="114"/>
      <c r="J24" s="114"/>
      <c r="K24" s="114"/>
      <c r="L24" s="114"/>
      <c r="M24" s="114"/>
      <c r="N24" s="114"/>
    </row>
    <row r="25" spans="2:16" x14ac:dyDescent="0.2">
      <c r="B25" s="114"/>
      <c r="C25" s="114" t="s">
        <v>381</v>
      </c>
      <c r="D25" s="114"/>
      <c r="E25" s="114"/>
      <c r="F25" s="114"/>
      <c r="G25" s="114"/>
      <c r="H25" s="114"/>
      <c r="I25" s="114"/>
      <c r="J25" s="114"/>
      <c r="K25" s="114"/>
      <c r="L25" s="114"/>
      <c r="M25" s="114"/>
      <c r="N25" s="114"/>
    </row>
    <row r="26" spans="2:16" x14ac:dyDescent="0.2">
      <c r="B26" s="114"/>
      <c r="C26" s="114" t="s">
        <v>380</v>
      </c>
      <c r="D26" s="114"/>
      <c r="E26" s="114"/>
      <c r="F26" s="114"/>
      <c r="G26" s="114"/>
      <c r="H26" s="114"/>
      <c r="I26" s="114"/>
      <c r="J26" s="114"/>
      <c r="K26" s="114"/>
      <c r="L26" s="114"/>
      <c r="M26" s="114"/>
      <c r="N26" s="114"/>
    </row>
    <row r="27" spans="2:16" x14ac:dyDescent="0.2">
      <c r="C27" s="9" t="s">
        <v>210</v>
      </c>
      <c r="E27" s="121" t="s">
        <v>211</v>
      </c>
    </row>
  </sheetData>
  <mergeCells count="4">
    <mergeCell ref="D10:T12"/>
    <mergeCell ref="D13:T14"/>
    <mergeCell ref="D5:T6"/>
    <mergeCell ref="D7:T9"/>
  </mergeCells>
  <phoneticPr fontId="0" type="noConversion"/>
  <hyperlinks>
    <hyperlink ref="B2" location="MENU!A1" display="MENU UTAMA"/>
    <hyperlink ref="E27" r:id="rId1"/>
  </hyperlinks>
  <pageMargins left="0.75" right="0.75" top="1" bottom="1" header="0.5" footer="0.5"/>
  <pageSetup paperSize="9" scale="86" fitToHeight="0" orientation="landscape" r:id="rId2"/>
  <headerFooter alignWithMargins="0"/>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4:D22"/>
  <sheetViews>
    <sheetView workbookViewId="0">
      <selection activeCell="C20" sqref="C20"/>
    </sheetView>
  </sheetViews>
  <sheetFormatPr defaultRowHeight="17.100000000000001" customHeight="1" x14ac:dyDescent="0.2"/>
  <cols>
    <col min="1" max="1" width="25" style="24" customWidth="1"/>
    <col min="2" max="2" width="52.5703125" style="124" customWidth="1"/>
    <col min="3" max="3" width="14.5703125" style="24" customWidth="1"/>
    <col min="4" max="4" width="43.28515625" style="24" customWidth="1"/>
    <col min="5" max="16384" width="9.140625" style="24"/>
  </cols>
  <sheetData>
    <row r="4" spans="2:4" ht="17.100000000000001" customHeight="1" x14ac:dyDescent="0.2">
      <c r="B4" s="29" t="s">
        <v>221</v>
      </c>
    </row>
    <row r="5" spans="2:4" ht="17.100000000000001" customHeight="1" x14ac:dyDescent="0.2">
      <c r="B5" s="125"/>
    </row>
    <row r="6" spans="2:4" ht="17.100000000000001" customHeight="1" x14ac:dyDescent="0.2">
      <c r="B6" s="126" t="s">
        <v>216</v>
      </c>
    </row>
    <row r="7" spans="2:4" ht="17.100000000000001" customHeight="1" x14ac:dyDescent="0.2">
      <c r="B7" s="125" t="s">
        <v>217</v>
      </c>
      <c r="C7" s="348" t="s">
        <v>336</v>
      </c>
      <c r="D7" s="348"/>
    </row>
    <row r="8" spans="2:4" ht="17.100000000000001" customHeight="1" x14ac:dyDescent="0.2">
      <c r="B8" s="125" t="s">
        <v>198</v>
      </c>
      <c r="C8" s="349" t="s">
        <v>474</v>
      </c>
      <c r="D8" s="350"/>
    </row>
    <row r="9" spans="2:4" ht="17.100000000000001" customHeight="1" x14ac:dyDescent="0.2">
      <c r="B9" s="125" t="s">
        <v>218</v>
      </c>
      <c r="C9" s="349" t="s">
        <v>475</v>
      </c>
      <c r="D9" s="350"/>
    </row>
    <row r="10" spans="2:4" ht="17.100000000000001" customHeight="1" x14ac:dyDescent="0.2">
      <c r="B10" s="125"/>
      <c r="C10" s="122"/>
      <c r="D10" s="122"/>
    </row>
    <row r="11" spans="2:4" ht="17.100000000000001" customHeight="1" x14ac:dyDescent="0.2">
      <c r="B11" s="126" t="s">
        <v>371</v>
      </c>
      <c r="C11" s="122"/>
    </row>
    <row r="12" spans="2:4" ht="17.100000000000001" customHeight="1" x14ac:dyDescent="0.2">
      <c r="B12" s="125" t="s">
        <v>370</v>
      </c>
      <c r="C12" s="231">
        <v>2015</v>
      </c>
    </row>
    <row r="13" spans="2:4" ht="17.100000000000001" customHeight="1" x14ac:dyDescent="0.2">
      <c r="B13" s="125" t="s">
        <v>464</v>
      </c>
      <c r="C13" s="231" t="s">
        <v>473</v>
      </c>
    </row>
    <row r="14" spans="2:4" ht="17.100000000000001" customHeight="1" x14ac:dyDescent="0.2">
      <c r="B14" s="125"/>
      <c r="C14" s="123"/>
    </row>
    <row r="15" spans="2:4" ht="17.100000000000001" customHeight="1" x14ac:dyDescent="0.2">
      <c r="B15" s="126" t="s">
        <v>401</v>
      </c>
      <c r="C15" s="127"/>
    </row>
    <row r="16" spans="2:4" ht="17.100000000000001" customHeight="1" x14ac:dyDescent="0.2">
      <c r="B16" s="125" t="s">
        <v>403</v>
      </c>
      <c r="C16" s="258">
        <v>2000</v>
      </c>
      <c r="D16" s="24" t="s">
        <v>411</v>
      </c>
    </row>
    <row r="17" spans="2:4" ht="17.100000000000001" customHeight="1" x14ac:dyDescent="0.2">
      <c r="B17" s="125" t="s">
        <v>402</v>
      </c>
      <c r="C17" s="259">
        <v>52</v>
      </c>
      <c r="D17" s="24" t="s">
        <v>412</v>
      </c>
    </row>
    <row r="18" spans="2:4" ht="17.100000000000001" customHeight="1" x14ac:dyDescent="0.2">
      <c r="B18" s="125"/>
    </row>
    <row r="19" spans="2:4" ht="17.100000000000001" customHeight="1" x14ac:dyDescent="0.2">
      <c r="B19" s="126" t="s">
        <v>214</v>
      </c>
      <c r="C19" s="127"/>
    </row>
    <row r="20" spans="2:4" ht="17.100000000000001" customHeight="1" x14ac:dyDescent="0.2">
      <c r="B20" s="125" t="str">
        <f>CONCATENATE("Jumlah Penduduk Pertengahan Tahun ",C12)</f>
        <v>Jumlah Penduduk Pertengahan Tahun 2015</v>
      </c>
      <c r="C20" s="229">
        <v>450186</v>
      </c>
      <c r="D20" s="24" t="s">
        <v>169</v>
      </c>
    </row>
    <row r="21" spans="2:4" ht="17.100000000000001" customHeight="1" x14ac:dyDescent="0.2">
      <c r="B21" s="125" t="s">
        <v>219</v>
      </c>
      <c r="C21" s="230">
        <v>0.83</v>
      </c>
      <c r="D21" s="24" t="s">
        <v>220</v>
      </c>
    </row>
    <row r="22" spans="2:4" ht="17.100000000000001" customHeight="1" x14ac:dyDescent="0.2">
      <c r="B22" s="125"/>
    </row>
  </sheetData>
  <mergeCells count="3">
    <mergeCell ref="C7:D7"/>
    <mergeCell ref="C8:D8"/>
    <mergeCell ref="C9:D9"/>
  </mergeCells>
  <phoneticPr fontId="0" type="noConversion"/>
  <pageMargins left="0.75" right="0.75" top="1" bottom="1" header="0.5" footer="0.5"/>
  <pageSetup paperSize="9" fitToHeight="0" orientation="landscape" r:id="rId1"/>
  <headerFooter alignWithMargins="0"/>
  <drawing r:id="rId2"/>
  <legacyDrawing r:id="rId3"/>
  <controls>
    <mc:AlternateContent xmlns:mc="http://schemas.openxmlformats.org/markup-compatibility/2006">
      <mc:Choice Requires="x14">
        <control shapeId="3074" r:id="rId4" name="cbbTahun">
          <controlPr locked="0" defaultSize="0" print="0" autoLine="0" linkedCell="BASELINE!$C$12" r:id="rId5">
            <anchor>
              <from>
                <xdr:col>2</xdr:col>
                <xdr:colOff>0</xdr:colOff>
                <xdr:row>11</xdr:row>
                <xdr:rowOff>0</xdr:rowOff>
              </from>
              <to>
                <xdr:col>3</xdr:col>
                <xdr:colOff>0</xdr:colOff>
                <xdr:row>12</xdr:row>
                <xdr:rowOff>38100</xdr:rowOff>
              </to>
            </anchor>
          </controlPr>
        </control>
      </mc:Choice>
      <mc:Fallback>
        <control shapeId="3074" r:id="rId4" name="cbbTahun"/>
      </mc:Fallback>
    </mc:AlternateContent>
    <mc:AlternateContent xmlns:mc="http://schemas.openxmlformats.org/markup-compatibility/2006">
      <mc:Choice Requires="x14">
        <control shapeId="3075" r:id="rId6" name="cbbWilayah">
          <controlPr locked="0" defaultSize="0" print="0" autoLine="0" linkedCell="BASELINE!$C$7" listFillRange="'FAKTOR KOREKSI'!$C$11:$C$44" r:id="rId7">
            <anchor>
              <from>
                <xdr:col>2</xdr:col>
                <xdr:colOff>0</xdr:colOff>
                <xdr:row>6</xdr:row>
                <xdr:rowOff>0</xdr:rowOff>
              </from>
              <to>
                <xdr:col>4</xdr:col>
                <xdr:colOff>28575</xdr:colOff>
                <xdr:row>7</xdr:row>
                <xdr:rowOff>38100</xdr:rowOff>
              </to>
            </anchor>
          </controlPr>
        </control>
      </mc:Choice>
      <mc:Fallback>
        <control shapeId="3075" r:id="rId6" name="cbbWilayah"/>
      </mc:Fallback>
    </mc:AlternateContent>
    <mc:AlternateContent xmlns:mc="http://schemas.openxmlformats.org/markup-compatibility/2006">
      <mc:Choice Requires="x14">
        <control shapeId="3076" r:id="rId8" name="cbbBasis">
          <controlPr locked="0" defaultSize="0" print="0" autoLine="0" linkedCell="BASELINE!$C$13" r:id="rId9">
            <anchor>
              <from>
                <xdr:col>2</xdr:col>
                <xdr:colOff>0</xdr:colOff>
                <xdr:row>12</xdr:row>
                <xdr:rowOff>0</xdr:rowOff>
              </from>
              <to>
                <xdr:col>3</xdr:col>
                <xdr:colOff>0</xdr:colOff>
                <xdr:row>13</xdr:row>
                <xdr:rowOff>38100</xdr:rowOff>
              </to>
            </anchor>
          </controlPr>
        </control>
      </mc:Choice>
      <mc:Fallback>
        <control shapeId="3076" r:id="rId8" name="cbbBasis"/>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2:AV276"/>
  <sheetViews>
    <sheetView zoomScale="70" zoomScaleNormal="70" workbookViewId="0">
      <pane xSplit="2" ySplit="11" topLeftCell="P153" activePane="bottomRight" state="frozen"/>
      <selection pane="topRight" activeCell="C1" sqref="C1"/>
      <selection pane="bottomLeft" activeCell="A12" sqref="A12"/>
      <selection pane="bottomRight" activeCell="X40" sqref="X40"/>
    </sheetView>
  </sheetViews>
  <sheetFormatPr defaultRowHeight="15" customHeight="1" x14ac:dyDescent="0.2"/>
  <cols>
    <col min="1" max="1" width="14.5703125" style="16" customWidth="1"/>
    <col min="2" max="2" width="47.85546875" style="16" customWidth="1"/>
    <col min="3" max="3" width="5.140625" style="131" hidden="1" customWidth="1"/>
    <col min="4" max="4" width="3" style="16" hidden="1" customWidth="1"/>
    <col min="5" max="5" width="3.28515625" style="16" hidden="1" customWidth="1"/>
    <col min="6" max="6" width="3.85546875" style="16" hidden="1" customWidth="1"/>
    <col min="7" max="7" width="5.28515625" style="16" hidden="1" customWidth="1"/>
    <col min="8" max="8" width="14.42578125" style="16" customWidth="1"/>
    <col min="9" max="26" width="10.28515625" style="16" customWidth="1"/>
    <col min="27" max="47" width="11.5703125" style="16" hidden="1" customWidth="1"/>
    <col min="48" max="16384" width="9.140625" style="16"/>
  </cols>
  <sheetData>
    <row r="2" spans="2:48" ht="15" customHeight="1" x14ac:dyDescent="0.2">
      <c r="B2" s="128"/>
      <c r="C2" s="129"/>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row>
    <row r="3" spans="2:48" ht="15" customHeight="1" x14ac:dyDescent="0.2">
      <c r="B3" s="23"/>
    </row>
    <row r="4" spans="2:48" ht="15" customHeight="1" x14ac:dyDescent="0.2">
      <c r="B4" s="7" t="str">
        <f>UPPER(BASELINE!$C$8)</f>
        <v>BADAN KETAHANAN PANGAN DAN PENYULUHAN</v>
      </c>
      <c r="C4" s="8"/>
      <c r="D4" s="9"/>
      <c r="E4" s="9"/>
      <c r="F4" s="9"/>
      <c r="G4" s="9"/>
      <c r="H4" s="9"/>
      <c r="I4" s="9"/>
      <c r="J4" s="9"/>
      <c r="K4" s="9"/>
      <c r="L4" s="9"/>
      <c r="M4" s="9"/>
      <c r="O4" s="9"/>
      <c r="Q4" s="9"/>
      <c r="R4" s="9"/>
      <c r="T4" s="9"/>
      <c r="V4" s="9"/>
      <c r="W4" s="9"/>
      <c r="Y4" s="9"/>
      <c r="Z4" s="10" t="s">
        <v>416</v>
      </c>
      <c r="AA4" s="9"/>
      <c r="AB4" s="9"/>
      <c r="AC4" s="9"/>
      <c r="AD4" s="9"/>
      <c r="AE4" s="9"/>
      <c r="AF4" s="9"/>
      <c r="AG4" s="9"/>
      <c r="AH4" s="9"/>
      <c r="AI4" s="9"/>
      <c r="AJ4" s="9"/>
      <c r="AK4" s="9"/>
      <c r="AL4" s="9"/>
      <c r="AM4" s="9"/>
      <c r="AN4" s="9"/>
      <c r="AO4" s="9"/>
      <c r="AP4" s="9"/>
      <c r="AQ4" s="9"/>
      <c r="AR4" s="9"/>
      <c r="AS4" s="9"/>
      <c r="AT4" s="9"/>
      <c r="AU4" s="9"/>
    </row>
    <row r="5" spans="2:48" ht="15" customHeight="1" x14ac:dyDescent="0.2">
      <c r="B5" s="7" t="str">
        <f>UPPER(CONCATENATE(IF(UPPER(BASELINE!$C$7)="INDONESIA","KEMENTRIAN PERTANIAN","PROPINSI "),BASELINE!$C$7))</f>
        <v>PROPINSI SUMATERA BARAT</v>
      </c>
      <c r="C5" s="8"/>
      <c r="D5" s="9"/>
      <c r="E5" s="9"/>
      <c r="F5" s="9"/>
      <c r="G5" s="9"/>
      <c r="H5" s="9"/>
      <c r="I5" s="9"/>
      <c r="J5" s="9"/>
      <c r="K5" s="9"/>
      <c r="L5" s="10"/>
      <c r="M5" s="10"/>
      <c r="O5" s="10"/>
      <c r="Q5" s="10"/>
      <c r="R5" s="10"/>
      <c r="T5" s="10"/>
      <c r="V5" s="10"/>
      <c r="W5" s="10"/>
      <c r="Y5" s="10"/>
      <c r="Z5" s="10" t="s">
        <v>395</v>
      </c>
      <c r="AA5" s="9"/>
      <c r="AB5" s="9"/>
      <c r="AC5" s="9"/>
      <c r="AD5" s="9"/>
      <c r="AE5" s="9"/>
      <c r="AF5" s="9"/>
      <c r="AG5" s="9"/>
      <c r="AH5" s="9"/>
      <c r="AI5" s="9"/>
      <c r="AJ5" s="9"/>
      <c r="AK5" s="9"/>
      <c r="AL5" s="9"/>
      <c r="AM5" s="9"/>
      <c r="AN5" s="9"/>
      <c r="AO5" s="9"/>
      <c r="AP5" s="9"/>
      <c r="AQ5" s="9"/>
      <c r="AR5" s="9"/>
      <c r="AS5" s="9"/>
      <c r="AT5" s="9"/>
      <c r="AU5" s="9"/>
    </row>
    <row r="6" spans="2:48" ht="15" customHeight="1" x14ac:dyDescent="0.2">
      <c r="B6" s="7" t="str">
        <f>UPPER(BASELINE!$C$9)</f>
        <v>JL H AGUS SALIM PAINAN</v>
      </c>
      <c r="C6" s="11"/>
      <c r="D6" s="12"/>
      <c r="E6" s="12"/>
      <c r="F6" s="12"/>
      <c r="G6" s="12"/>
      <c r="H6" s="12"/>
      <c r="I6" s="12"/>
      <c r="J6" s="12"/>
      <c r="K6" s="12"/>
      <c r="L6" s="11"/>
      <c r="M6" s="11"/>
      <c r="O6" s="12"/>
      <c r="Q6" s="11"/>
      <c r="R6" s="11"/>
      <c r="T6" s="12"/>
      <c r="V6" s="11"/>
      <c r="W6" s="11"/>
      <c r="Y6" s="12"/>
      <c r="Z6" s="10" t="str">
        <f>UPPER(CONCATENATE(IF(UPPER(BASELINE!$C$7)="INDONESIA","","PROPINSI "),BASELINE!$C$7," TAHUN ",BASELINE!$C$12))</f>
        <v>PROPINSI SUMATERA BARAT TAHUN 2015</v>
      </c>
      <c r="AA6" s="12"/>
      <c r="AB6" s="12"/>
      <c r="AC6" s="12"/>
      <c r="AD6" s="12"/>
      <c r="AE6" s="12"/>
      <c r="AF6" s="12"/>
      <c r="AG6" s="11"/>
      <c r="AH6" s="11"/>
      <c r="AI6" s="12"/>
      <c r="AJ6" s="12"/>
      <c r="AK6" s="12"/>
      <c r="AL6" s="11"/>
      <c r="AM6" s="11"/>
      <c r="AN6" s="12"/>
      <c r="AO6" s="12"/>
      <c r="AP6" s="12"/>
      <c r="AQ6" s="11"/>
      <c r="AR6" s="11"/>
      <c r="AS6" s="12"/>
      <c r="AT6" s="12"/>
      <c r="AU6" s="12"/>
    </row>
    <row r="7" spans="2:48" ht="15" customHeight="1" x14ac:dyDescent="0.2">
      <c r="B7" s="12"/>
      <c r="C7" s="11"/>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row>
    <row r="8" spans="2:48" ht="19.5" customHeight="1" x14ac:dyDescent="0.2">
      <c r="B8" s="364" t="s">
        <v>185</v>
      </c>
      <c r="C8" s="361" t="s">
        <v>5</v>
      </c>
      <c r="D8" s="362"/>
      <c r="E8" s="362"/>
      <c r="F8" s="362"/>
      <c r="G8" s="362"/>
      <c r="H8" s="351" t="s">
        <v>457</v>
      </c>
      <c r="I8" s="351"/>
      <c r="J8" s="351"/>
      <c r="K8" s="351"/>
      <c r="L8" s="361" t="s">
        <v>422</v>
      </c>
      <c r="M8" s="362"/>
      <c r="N8" s="362"/>
      <c r="O8" s="362"/>
      <c r="P8" s="362"/>
      <c r="Q8" s="362"/>
      <c r="R8" s="362"/>
      <c r="S8" s="362"/>
      <c r="T8" s="362"/>
      <c r="U8" s="362"/>
      <c r="V8" s="362"/>
      <c r="W8" s="362"/>
      <c r="X8" s="362"/>
      <c r="Y8" s="362"/>
      <c r="Z8" s="363"/>
      <c r="AA8" s="358" t="s">
        <v>425</v>
      </c>
      <c r="AB8" s="358"/>
      <c r="AC8" s="358"/>
      <c r="AD8" s="358"/>
      <c r="AE8" s="358"/>
      <c r="AF8" s="358"/>
      <c r="AG8" s="352" t="s">
        <v>410</v>
      </c>
      <c r="AH8" s="353"/>
      <c r="AI8" s="353"/>
      <c r="AJ8" s="353"/>
      <c r="AK8" s="353"/>
      <c r="AL8" s="353"/>
      <c r="AM8" s="353"/>
      <c r="AN8" s="353"/>
      <c r="AO8" s="353"/>
      <c r="AP8" s="353"/>
      <c r="AQ8" s="353"/>
      <c r="AR8" s="353"/>
      <c r="AS8" s="353"/>
      <c r="AT8" s="353"/>
      <c r="AU8" s="354"/>
      <c r="AV8" s="269"/>
    </row>
    <row r="9" spans="2:48" ht="19.5" customHeight="1" x14ac:dyDescent="0.2">
      <c r="B9" s="364"/>
      <c r="C9" s="366" t="s">
        <v>6</v>
      </c>
      <c r="D9" s="368" t="s">
        <v>223</v>
      </c>
      <c r="E9" s="368" t="s">
        <v>224</v>
      </c>
      <c r="F9" s="368" t="s">
        <v>225</v>
      </c>
      <c r="G9" s="370" t="s">
        <v>226</v>
      </c>
      <c r="H9" s="351" t="s">
        <v>9</v>
      </c>
      <c r="I9" s="351" t="s">
        <v>423</v>
      </c>
      <c r="J9" s="351"/>
      <c r="K9" s="351"/>
      <c r="L9" s="352" t="s">
        <v>455</v>
      </c>
      <c r="M9" s="353"/>
      <c r="N9" s="353"/>
      <c r="O9" s="353"/>
      <c r="P9" s="354"/>
      <c r="Q9" s="352" t="s">
        <v>438</v>
      </c>
      <c r="R9" s="353"/>
      <c r="S9" s="353"/>
      <c r="T9" s="353"/>
      <c r="U9" s="354"/>
      <c r="V9" s="352" t="s">
        <v>439</v>
      </c>
      <c r="W9" s="353"/>
      <c r="X9" s="353"/>
      <c r="Y9" s="353"/>
      <c r="Z9" s="354"/>
      <c r="AA9" s="359" t="s">
        <v>171</v>
      </c>
      <c r="AB9" s="359" t="s">
        <v>222</v>
      </c>
      <c r="AC9" s="359" t="s">
        <v>8</v>
      </c>
      <c r="AD9" s="355" t="s">
        <v>186</v>
      </c>
      <c r="AE9" s="356"/>
      <c r="AF9" s="357"/>
      <c r="AG9" s="351" t="s">
        <v>455</v>
      </c>
      <c r="AH9" s="351"/>
      <c r="AI9" s="351"/>
      <c r="AJ9" s="351"/>
      <c r="AK9" s="351"/>
      <c r="AL9" s="351" t="s">
        <v>438</v>
      </c>
      <c r="AM9" s="351"/>
      <c r="AN9" s="351"/>
      <c r="AO9" s="351"/>
      <c r="AP9" s="351"/>
      <c r="AQ9" s="351" t="s">
        <v>439</v>
      </c>
      <c r="AR9" s="351"/>
      <c r="AS9" s="351"/>
      <c r="AT9" s="351"/>
      <c r="AU9" s="351"/>
      <c r="AV9" s="269"/>
    </row>
    <row r="10" spans="2:48" ht="38.25" customHeight="1" x14ac:dyDescent="0.2">
      <c r="B10" s="365"/>
      <c r="C10" s="367"/>
      <c r="D10" s="369"/>
      <c r="E10" s="369"/>
      <c r="F10" s="369"/>
      <c r="G10" s="371"/>
      <c r="H10" s="351"/>
      <c r="I10" s="226" t="s">
        <v>420</v>
      </c>
      <c r="J10" s="226" t="s">
        <v>421</v>
      </c>
      <c r="K10" s="226" t="s">
        <v>424</v>
      </c>
      <c r="L10" s="225" t="s">
        <v>186</v>
      </c>
      <c r="M10" s="225" t="s">
        <v>2</v>
      </c>
      <c r="N10" s="225" t="s">
        <v>3</v>
      </c>
      <c r="O10" s="225" t="s">
        <v>375</v>
      </c>
      <c r="P10" s="225" t="s">
        <v>443</v>
      </c>
      <c r="Q10" s="225" t="s">
        <v>186</v>
      </c>
      <c r="R10" s="225" t="s">
        <v>2</v>
      </c>
      <c r="S10" s="225" t="s">
        <v>3</v>
      </c>
      <c r="T10" s="225" t="s">
        <v>375</v>
      </c>
      <c r="U10" s="225" t="s">
        <v>443</v>
      </c>
      <c r="V10" s="225" t="s">
        <v>409</v>
      </c>
      <c r="W10" s="225" t="s">
        <v>2</v>
      </c>
      <c r="X10" s="225" t="s">
        <v>3</v>
      </c>
      <c r="Y10" s="225" t="s">
        <v>375</v>
      </c>
      <c r="Z10" s="225" t="s">
        <v>443</v>
      </c>
      <c r="AA10" s="360"/>
      <c r="AB10" s="360"/>
      <c r="AC10" s="360"/>
      <c r="AD10" s="226" t="s">
        <v>455</v>
      </c>
      <c r="AE10" s="226" t="s">
        <v>438</v>
      </c>
      <c r="AF10" s="226" t="s">
        <v>439</v>
      </c>
      <c r="AG10" s="228" t="s">
        <v>405</v>
      </c>
      <c r="AH10" s="228" t="s">
        <v>406</v>
      </c>
      <c r="AI10" s="228" t="s">
        <v>407</v>
      </c>
      <c r="AJ10" s="228" t="s">
        <v>408</v>
      </c>
      <c r="AK10" s="228" t="s">
        <v>409</v>
      </c>
      <c r="AL10" s="228" t="s">
        <v>405</v>
      </c>
      <c r="AM10" s="228" t="s">
        <v>406</v>
      </c>
      <c r="AN10" s="228" t="s">
        <v>407</v>
      </c>
      <c r="AO10" s="228" t="s">
        <v>408</v>
      </c>
      <c r="AP10" s="228" t="s">
        <v>409</v>
      </c>
      <c r="AQ10" s="228" t="s">
        <v>405</v>
      </c>
      <c r="AR10" s="228" t="s">
        <v>406</v>
      </c>
      <c r="AS10" s="228" t="s">
        <v>407</v>
      </c>
      <c r="AT10" s="228" t="s">
        <v>408</v>
      </c>
      <c r="AU10" s="228" t="s">
        <v>409</v>
      </c>
      <c r="AV10" s="269"/>
    </row>
    <row r="11" spans="2:48" ht="15" customHeight="1" x14ac:dyDescent="0.2">
      <c r="B11" s="132"/>
      <c r="C11" s="133"/>
      <c r="D11" s="134"/>
      <c r="E11" s="134"/>
      <c r="F11" s="134"/>
      <c r="G11" s="134"/>
      <c r="H11" s="264"/>
      <c r="I11" s="134"/>
      <c r="J11" s="134"/>
      <c r="K11" s="135"/>
      <c r="L11" s="134"/>
      <c r="M11" s="134"/>
      <c r="N11" s="134"/>
      <c r="O11" s="134"/>
      <c r="P11" s="135"/>
      <c r="Q11" s="134"/>
      <c r="R11" s="134"/>
      <c r="S11" s="134"/>
      <c r="T11" s="134"/>
      <c r="U11" s="135"/>
      <c r="V11" s="134"/>
      <c r="W11" s="134"/>
      <c r="X11" s="134"/>
      <c r="Y11" s="134"/>
      <c r="Z11" s="135"/>
      <c r="AA11" s="134"/>
      <c r="AB11" s="134"/>
      <c r="AC11" s="134"/>
      <c r="AD11" s="135"/>
      <c r="AE11" s="135"/>
      <c r="AF11" s="135"/>
      <c r="AG11" s="135"/>
      <c r="AH11" s="135"/>
      <c r="AI11" s="135"/>
      <c r="AJ11" s="135"/>
      <c r="AK11" s="135"/>
      <c r="AL11" s="135"/>
      <c r="AM11" s="135"/>
      <c r="AN11" s="135"/>
      <c r="AO11" s="135"/>
      <c r="AP11" s="135"/>
      <c r="AQ11" s="135"/>
      <c r="AR11" s="135"/>
      <c r="AS11" s="135"/>
      <c r="AT11" s="135"/>
      <c r="AU11" s="135"/>
    </row>
    <row r="12" spans="2:48" ht="15" customHeight="1" x14ac:dyDescent="0.2">
      <c r="B12" s="136" t="s">
        <v>10</v>
      </c>
      <c r="C12" s="137"/>
      <c r="D12" s="138"/>
      <c r="E12" s="138"/>
      <c r="F12" s="138"/>
      <c r="G12" s="138"/>
      <c r="H12" s="264"/>
      <c r="I12" s="134"/>
      <c r="J12" s="134">
        <v>0.89461570339109031</v>
      </c>
      <c r="K12" s="135">
        <v>0.95929426094941428</v>
      </c>
      <c r="L12" s="138"/>
      <c r="M12" s="138"/>
      <c r="N12" s="138"/>
      <c r="O12" s="138"/>
      <c r="P12" s="139"/>
      <c r="Q12" s="138"/>
      <c r="R12" s="138"/>
      <c r="S12" s="138"/>
      <c r="T12" s="138"/>
      <c r="U12" s="139"/>
      <c r="V12" s="138"/>
      <c r="W12" s="138"/>
      <c r="X12" s="138"/>
      <c r="Y12" s="138"/>
      <c r="Z12" s="139"/>
      <c r="AA12" s="138"/>
      <c r="AB12" s="138"/>
      <c r="AC12" s="138"/>
      <c r="AD12" s="139"/>
      <c r="AE12" s="139"/>
      <c r="AF12" s="139"/>
      <c r="AG12" s="139"/>
      <c r="AH12" s="139"/>
      <c r="AI12" s="139"/>
      <c r="AJ12" s="139"/>
      <c r="AK12" s="139"/>
      <c r="AL12" s="139"/>
      <c r="AM12" s="139"/>
      <c r="AN12" s="139"/>
      <c r="AO12" s="139"/>
      <c r="AP12" s="139"/>
      <c r="AQ12" s="139"/>
      <c r="AR12" s="139"/>
      <c r="AS12" s="139"/>
      <c r="AT12" s="139"/>
      <c r="AU12" s="139"/>
    </row>
    <row r="13" spans="2:48" ht="15" customHeight="1" x14ac:dyDescent="0.2">
      <c r="B13" s="140" t="s">
        <v>227</v>
      </c>
      <c r="C13" s="141">
        <v>1000</v>
      </c>
      <c r="D13" s="142">
        <v>3622</v>
      </c>
      <c r="E13" s="242">
        <v>84.75</v>
      </c>
      <c r="F13" s="142">
        <v>14.5</v>
      </c>
      <c r="G13" s="260">
        <v>775.5</v>
      </c>
      <c r="H13" s="150" t="s">
        <v>200</v>
      </c>
      <c r="I13" s="311">
        <v>0.16782666569540941</v>
      </c>
      <c r="J13" s="311">
        <v>1.78131640870057</v>
      </c>
      <c r="K13" s="311">
        <v>1.949143074395979</v>
      </c>
      <c r="L13" s="144">
        <f>$I13*C13/7</f>
        <v>23.97523795648706</v>
      </c>
      <c r="M13" s="144">
        <f t="shared" ref="M13:P13" si="0">$I13*D13/7</f>
        <v>86.838311878396127</v>
      </c>
      <c r="N13" s="144">
        <f t="shared" si="0"/>
        <v>2.031901416812278</v>
      </c>
      <c r="O13" s="144">
        <f t="shared" si="0"/>
        <v>0.34764095036906234</v>
      </c>
      <c r="P13" s="144">
        <f t="shared" si="0"/>
        <v>18.592797035255717</v>
      </c>
      <c r="Q13" s="144">
        <f>$J13*C13/7</f>
        <v>254.47377267151001</v>
      </c>
      <c r="R13" s="144">
        <f t="shared" ref="R13:U13" si="1">$J13*D13/7</f>
        <v>921.7040046162092</v>
      </c>
      <c r="S13" s="144">
        <f t="shared" si="1"/>
        <v>21.566652233910471</v>
      </c>
      <c r="T13" s="144">
        <f t="shared" si="1"/>
        <v>3.6898697037368953</v>
      </c>
      <c r="U13" s="144">
        <f t="shared" si="1"/>
        <v>197.34441070675601</v>
      </c>
      <c r="V13" s="338">
        <f>$K13*C13/7</f>
        <v>278.44901062799698</v>
      </c>
      <c r="W13" s="338">
        <f t="shared" ref="W13:Z13" si="2">$K13*D13/7</f>
        <v>1008.5423164946051</v>
      </c>
      <c r="X13" s="338">
        <f t="shared" si="2"/>
        <v>23.598553650722746</v>
      </c>
      <c r="Y13" s="338">
        <f t="shared" si="2"/>
        <v>4.0375106541059562</v>
      </c>
      <c r="Z13" s="338">
        <f t="shared" si="2"/>
        <v>215.93720774201168</v>
      </c>
      <c r="AA13" s="145">
        <v>1</v>
      </c>
      <c r="AB13" s="140">
        <v>1</v>
      </c>
      <c r="AC13" s="146">
        <v>1</v>
      </c>
      <c r="AD13" s="232">
        <f>$L13*$AC13</f>
        <v>23.97523795648706</v>
      </c>
      <c r="AE13" s="232">
        <f>$Q13*$AC13</f>
        <v>254.47377267151001</v>
      </c>
      <c r="AF13" s="232">
        <f>$V13*$AC13</f>
        <v>278.44901062799698</v>
      </c>
      <c r="AG13" s="254">
        <f>M13*VLOOKUP($AA13,'SKOR PPH'!$B$13:$D$21,3,FALSE)</f>
        <v>90.164219223338705</v>
      </c>
      <c r="AH13" s="232">
        <f>N13*VLOOKUP($AA13,'SKOR PPH'!$B$13:$D$21,3,FALSE)</f>
        <v>2.1097232410761881</v>
      </c>
      <c r="AI13" s="232">
        <f>O13*VLOOKUP($AA13,'SKOR PPH'!$B$13:$D$21,3,FALSE)</f>
        <v>0.36095559876819744</v>
      </c>
      <c r="AJ13" s="232">
        <f>P13*VLOOKUP($AA13,'SKOR PPH'!$B$13:$D$21,3,FALSE)</f>
        <v>19.304901161706013</v>
      </c>
      <c r="AK13" s="232">
        <f>$AD13*VLOOKUP($AA13,'SKOR PPH'!$B$13:$D$21,3,FALSE)</f>
        <v>24.893489570220513</v>
      </c>
      <c r="AL13" s="254">
        <f>R13*VLOOKUP($AA13,'SKOR PPH'!$B$13:$D$21,3,FALSE)</f>
        <v>957.00526799300997</v>
      </c>
      <c r="AM13" s="232">
        <f>S13*VLOOKUP($AA13,'SKOR PPH'!$B$13:$D$21,3,FALSE)</f>
        <v>22.392655014469241</v>
      </c>
      <c r="AN13" s="232">
        <f>T13*VLOOKUP($AA13,'SKOR PPH'!$B$13:$D$21,3,FALSE)</f>
        <v>3.8311917133900182</v>
      </c>
      <c r="AO13" s="232">
        <f>U13*VLOOKUP($AA13,'SKOR PPH'!$B$13:$D$21,3,FALSE)</f>
        <v>204.90270163682476</v>
      </c>
      <c r="AP13" s="232">
        <f>$AE13*VLOOKUP($AA13,'SKOR PPH'!$B$13:$D$21,3,FALSE)</f>
        <v>264.22011816482882</v>
      </c>
      <c r="AQ13" s="254">
        <f>W13*VLOOKUP($AA13,'SKOR PPH'!$B$13:$D$21,3,FALSE)</f>
        <v>1047.1694872163484</v>
      </c>
      <c r="AR13" s="232">
        <f>X13*VLOOKUP($AA13,'SKOR PPH'!$B$13:$D$21,3,FALSE)</f>
        <v>24.502378255545427</v>
      </c>
      <c r="AS13" s="232">
        <f>Y13*VLOOKUP($AA13,'SKOR PPH'!$B$13:$D$21,3,FALSE)</f>
        <v>4.1921473121582142</v>
      </c>
      <c r="AT13" s="232">
        <f>Z13*VLOOKUP($AA13,'SKOR PPH'!$B$13:$D$21,3,FALSE)</f>
        <v>224.20760279853073</v>
      </c>
      <c r="AU13" s="232">
        <f>$AF13*VLOOKUP($AA13,'SKOR PPH'!$B$13:$D$21,3,FALSE)</f>
        <v>289.11360773504924</v>
      </c>
    </row>
    <row r="14" spans="2:48" ht="15" customHeight="1" x14ac:dyDescent="0.2">
      <c r="B14" s="147" t="s">
        <v>228</v>
      </c>
      <c r="C14" s="148">
        <v>1000</v>
      </c>
      <c r="D14" s="149">
        <v>3605</v>
      </c>
      <c r="E14" s="243">
        <v>77</v>
      </c>
      <c r="F14" s="149">
        <v>15.5</v>
      </c>
      <c r="G14" s="261">
        <v>764.5</v>
      </c>
      <c r="H14" s="150" t="s">
        <v>200</v>
      </c>
      <c r="I14" s="311">
        <v>8.6186649207281672E-4</v>
      </c>
      <c r="J14" s="311">
        <v>6.955725411865399E-4</v>
      </c>
      <c r="K14" s="311">
        <v>1.5574390332593565E-3</v>
      </c>
      <c r="L14" s="144">
        <f t="shared" ref="L14:L20" si="3">$I14*C14/7</f>
        <v>0.12312378458183096</v>
      </c>
      <c r="M14" s="144">
        <f t="shared" ref="M14:M20" si="4">$I14*D14/7</f>
        <v>0.44386124341750061</v>
      </c>
      <c r="N14" s="144">
        <f t="shared" ref="N14:N20" si="5">$I14*E14/7</f>
        <v>9.4805314128009847E-3</v>
      </c>
      <c r="O14" s="144">
        <f t="shared" ref="O14:O20" si="6">$I14*F14/7</f>
        <v>1.9084186610183798E-3</v>
      </c>
      <c r="P14" s="144">
        <f t="shared" ref="P14:P20" si="7">$I14*G14/7</f>
        <v>9.4128133312809767E-2</v>
      </c>
      <c r="Q14" s="144">
        <f t="shared" ref="Q14:Q20" si="8">$J14*C14/7</f>
        <v>9.936750588379141E-2</v>
      </c>
      <c r="R14" s="144">
        <f t="shared" ref="R14:R20" si="9">$J14*D14/7</f>
        <v>0.35821985871106804</v>
      </c>
      <c r="S14" s="144">
        <f t="shared" ref="S14:S20" si="10">$J14*E14/7</f>
        <v>7.6512979530519391E-3</v>
      </c>
      <c r="T14" s="144">
        <f t="shared" ref="T14:T20" si="11">$J14*F14/7</f>
        <v>1.5401963411987671E-3</v>
      </c>
      <c r="U14" s="144">
        <f t="shared" ref="U14:U20" si="12">$J14*G14/7</f>
        <v>7.5966458248158536E-2</v>
      </c>
      <c r="V14" s="338">
        <f t="shared" ref="V14:V20" si="13">$K14*C14/7</f>
        <v>0.22249129046562238</v>
      </c>
      <c r="W14" s="338">
        <f t="shared" ref="W14:W20" si="14">$K14*D14/7</f>
        <v>0.80208110212856865</v>
      </c>
      <c r="X14" s="338">
        <f t="shared" ref="X14:X20" si="15">$K14*E14/7</f>
        <v>1.7131829365852922E-2</v>
      </c>
      <c r="Y14" s="338">
        <f t="shared" ref="Y14:Y20" si="16">$K14*F14/7</f>
        <v>3.4486150022171465E-3</v>
      </c>
      <c r="Z14" s="338">
        <f t="shared" ref="Z14:Z20" si="17">$K14*G14/7</f>
        <v>0.17009459156096832</v>
      </c>
      <c r="AA14" s="151">
        <v>1</v>
      </c>
      <c r="AB14" s="147">
        <v>1</v>
      </c>
      <c r="AC14" s="152">
        <v>1</v>
      </c>
      <c r="AD14" s="232">
        <f t="shared" ref="AD14:AD20" si="18">$L14*$AC14</f>
        <v>0.12312378458183096</v>
      </c>
      <c r="AE14" s="232">
        <f t="shared" ref="AE14:AE20" si="19">$Q14*$AC14</f>
        <v>9.936750588379141E-2</v>
      </c>
      <c r="AF14" s="232">
        <f t="shared" ref="AF14:AF20" si="20">$V14*$AC14</f>
        <v>0.22249129046562238</v>
      </c>
      <c r="AG14" s="254">
        <f>M14*VLOOKUP($AA14,'SKOR PPH'!$B$13:$D$21,3,FALSE)</f>
        <v>0.46086112904039089</v>
      </c>
      <c r="AH14" s="232">
        <f>N14*VLOOKUP($AA14,'SKOR PPH'!$B$13:$D$21,3,FALSE)</f>
        <v>9.8436357659112631E-3</v>
      </c>
      <c r="AI14" s="232">
        <f>O14*VLOOKUP($AA14,'SKOR PPH'!$B$13:$D$21,3,FALSE)</f>
        <v>1.9815110957353836E-3</v>
      </c>
      <c r="AJ14" s="232">
        <f>P14*VLOOKUP($AA14,'SKOR PPH'!$B$13:$D$21,3,FALSE)</f>
        <v>9.7733240818690378E-2</v>
      </c>
      <c r="AK14" s="232">
        <f>$AD14*VLOOKUP($AA14,'SKOR PPH'!$B$13:$D$21,3,FALSE)</f>
        <v>0.12783942553131508</v>
      </c>
      <c r="AL14" s="254">
        <f>R14*VLOOKUP($AA14,'SKOR PPH'!$B$13:$D$21,3,FALSE)</f>
        <v>0.37193967929970195</v>
      </c>
      <c r="AM14" s="232">
        <f>S14*VLOOKUP($AA14,'SKOR PPH'!$B$13:$D$21,3,FALSE)</f>
        <v>7.9443426646538286E-3</v>
      </c>
      <c r="AN14" s="232">
        <f>T14*VLOOKUP($AA14,'SKOR PPH'!$B$13:$D$21,3,FALSE)</f>
        <v>1.5991858610666799E-3</v>
      </c>
      <c r="AO14" s="232">
        <f>U14*VLOOKUP($AA14,'SKOR PPH'!$B$13:$D$21,3,FALSE)</f>
        <v>7.887597359906301E-2</v>
      </c>
      <c r="AP14" s="232">
        <f>$AE14*VLOOKUP($AA14,'SKOR PPH'!$B$13:$D$21,3,FALSE)</f>
        <v>0.10317328135914063</v>
      </c>
      <c r="AQ14" s="254">
        <f>W14*VLOOKUP($AA14,'SKOR PPH'!$B$13:$D$21,3,FALSE)</f>
        <v>0.83280080834009285</v>
      </c>
      <c r="AR14" s="232">
        <f>X14*VLOOKUP($AA14,'SKOR PPH'!$B$13:$D$21,3,FALSE)</f>
        <v>1.778797843056509E-2</v>
      </c>
      <c r="AS14" s="232">
        <f>Y14*VLOOKUP($AA14,'SKOR PPH'!$B$13:$D$21,3,FALSE)</f>
        <v>3.5806969568020633E-3</v>
      </c>
      <c r="AT14" s="232">
        <f>Z14*VLOOKUP($AA14,'SKOR PPH'!$B$13:$D$21,3,FALSE)</f>
        <v>0.1766092144177534</v>
      </c>
      <c r="AU14" s="232">
        <f>$AF14*VLOOKUP($AA14,'SKOR PPH'!$B$13:$D$21,3,FALSE)</f>
        <v>0.23101270689045572</v>
      </c>
    </row>
    <row r="15" spans="2:48" ht="15" customHeight="1" x14ac:dyDescent="0.2">
      <c r="B15" s="147" t="s">
        <v>229</v>
      </c>
      <c r="C15" s="148">
        <v>1000</v>
      </c>
      <c r="D15" s="337">
        <v>361.2</v>
      </c>
      <c r="E15" s="243">
        <v>11.48</v>
      </c>
      <c r="F15" s="149">
        <v>3.64</v>
      </c>
      <c r="G15" s="261">
        <v>84.84</v>
      </c>
      <c r="H15" s="150" t="s">
        <v>200</v>
      </c>
      <c r="I15" s="311">
        <v>2.5112200347371573E-4</v>
      </c>
      <c r="J15" s="311">
        <v>8.2544911857401065E-3</v>
      </c>
      <c r="K15" s="311">
        <v>8.5056131892138238E-3</v>
      </c>
      <c r="L15" s="144">
        <f t="shared" si="3"/>
        <v>3.587457192481653E-2</v>
      </c>
      <c r="M15" s="144">
        <f t="shared" si="4"/>
        <v>1.2957895379243731E-2</v>
      </c>
      <c r="N15" s="144">
        <f t="shared" si="5"/>
        <v>4.1184008569689377E-4</v>
      </c>
      <c r="O15" s="144">
        <f t="shared" si="6"/>
        <v>1.3058344180633219E-4</v>
      </c>
      <c r="P15" s="144">
        <f t="shared" si="7"/>
        <v>3.043598682101435E-3</v>
      </c>
      <c r="Q15" s="144">
        <f t="shared" si="8"/>
        <v>1.1792130265343008</v>
      </c>
      <c r="R15" s="144">
        <f t="shared" si="9"/>
        <v>0.42593174518418947</v>
      </c>
      <c r="S15" s="144">
        <f t="shared" si="10"/>
        <v>1.3537365544613775E-2</v>
      </c>
      <c r="T15" s="144">
        <f t="shared" si="11"/>
        <v>4.2923354165848556E-3</v>
      </c>
      <c r="U15" s="144">
        <f t="shared" si="12"/>
        <v>0.10004443317117009</v>
      </c>
      <c r="V15" s="338">
        <f t="shared" si="13"/>
        <v>1.2150875984591176</v>
      </c>
      <c r="W15" s="338">
        <f t="shared" si="14"/>
        <v>0.43888964056343333</v>
      </c>
      <c r="X15" s="338">
        <f t="shared" si="15"/>
        <v>1.3949205630310671E-2</v>
      </c>
      <c r="Y15" s="338">
        <f t="shared" si="16"/>
        <v>4.4229188583911885E-3</v>
      </c>
      <c r="Z15" s="338">
        <f t="shared" si="17"/>
        <v>0.10308803185327155</v>
      </c>
      <c r="AA15" s="151">
        <v>1</v>
      </c>
      <c r="AB15" s="147">
        <v>2</v>
      </c>
      <c r="AC15" s="152">
        <v>0.39</v>
      </c>
      <c r="AD15" s="232">
        <f t="shared" si="18"/>
        <v>1.3991083050678447E-2</v>
      </c>
      <c r="AE15" s="232">
        <f t="shared" si="19"/>
        <v>0.45989308034837734</v>
      </c>
      <c r="AF15" s="232">
        <f t="shared" si="20"/>
        <v>0.47388416339905587</v>
      </c>
      <c r="AG15" s="232">
        <f>M15*VLOOKUP($AA15,'SKOR PPH'!$B$13:$D$21,3,FALSE)</f>
        <v>1.3454182772268765E-2</v>
      </c>
      <c r="AH15" s="232">
        <f>N15*VLOOKUP($AA15,'SKOR PPH'!$B$13:$D$21,3,FALSE)</f>
        <v>4.2761356097908483E-4</v>
      </c>
      <c r="AI15" s="232">
        <f>O15*VLOOKUP($AA15,'SKOR PPH'!$B$13:$D$21,3,FALSE)</f>
        <v>1.355847876275147E-4</v>
      </c>
      <c r="AJ15" s="232">
        <f>P15*VLOOKUP($AA15,'SKOR PPH'!$B$13:$D$21,3,FALSE)</f>
        <v>3.1601685116259201E-3</v>
      </c>
      <c r="AK15" s="232">
        <f>$AD15*VLOOKUP($AA15,'SKOR PPH'!$B$13:$D$21,3,FALSE)</f>
        <v>1.4526941531519432E-2</v>
      </c>
      <c r="AL15" s="232">
        <f>R15*VLOOKUP($AA15,'SKOR PPH'!$B$13:$D$21,3,FALSE)</f>
        <v>0.44224493102474394</v>
      </c>
      <c r="AM15" s="232">
        <f>S15*VLOOKUP($AA15,'SKOR PPH'!$B$13:$D$21,3,FALSE)</f>
        <v>1.4055846644972482E-2</v>
      </c>
      <c r="AN15" s="232">
        <f>T15*VLOOKUP($AA15,'SKOR PPH'!$B$13:$D$21,3,FALSE)</f>
        <v>4.4567318630400555E-3</v>
      </c>
      <c r="AO15" s="232">
        <f>U15*VLOOKUP($AA15,'SKOR PPH'!$B$13:$D$21,3,FALSE)</f>
        <v>0.10387613496162591</v>
      </c>
      <c r="AP15" s="232">
        <f>$AE15*VLOOKUP($AA15,'SKOR PPH'!$B$13:$D$21,3,FALSE)</f>
        <v>0.47750698532572017</v>
      </c>
      <c r="AQ15" s="232">
        <f>W15*VLOOKUP($AA15,'SKOR PPH'!$B$13:$D$21,3,FALSE)</f>
        <v>0.45569911379701283</v>
      </c>
      <c r="AR15" s="232">
        <f>X15*VLOOKUP($AA15,'SKOR PPH'!$B$13:$D$21,3,FALSE)</f>
        <v>1.448346020595157E-2</v>
      </c>
      <c r="AS15" s="232">
        <f>Y15*VLOOKUP($AA15,'SKOR PPH'!$B$13:$D$21,3,FALSE)</f>
        <v>4.592316650667571E-3</v>
      </c>
      <c r="AT15" s="232">
        <f>Z15*VLOOKUP($AA15,'SKOR PPH'!$B$13:$D$21,3,FALSE)</f>
        <v>0.10703630347325185</v>
      </c>
      <c r="AU15" s="232">
        <f>$AF15*VLOOKUP($AA15,'SKOR PPH'!$B$13:$D$21,3,FALSE)</f>
        <v>0.49203392685723973</v>
      </c>
    </row>
    <row r="16" spans="2:48" ht="15" customHeight="1" x14ac:dyDescent="0.2">
      <c r="B16" s="147" t="s">
        <v>230</v>
      </c>
      <c r="C16" s="148">
        <v>1000</v>
      </c>
      <c r="D16" s="149">
        <v>3200</v>
      </c>
      <c r="E16" s="243">
        <v>82.8</v>
      </c>
      <c r="F16" s="149">
        <v>39</v>
      </c>
      <c r="G16" s="261">
        <v>663.3</v>
      </c>
      <c r="H16" s="150" t="s">
        <v>200</v>
      </c>
      <c r="I16" s="311">
        <v>0</v>
      </c>
      <c r="J16" s="311">
        <v>6.0613427556654531E-4</v>
      </c>
      <c r="K16" s="311">
        <v>6.0613427556654531E-4</v>
      </c>
      <c r="L16" s="144">
        <f t="shared" si="3"/>
        <v>0</v>
      </c>
      <c r="M16" s="144">
        <f t="shared" si="4"/>
        <v>0</v>
      </c>
      <c r="N16" s="144">
        <f t="shared" si="5"/>
        <v>0</v>
      </c>
      <c r="O16" s="144">
        <f t="shared" si="6"/>
        <v>0</v>
      </c>
      <c r="P16" s="144">
        <f t="shared" si="7"/>
        <v>0</v>
      </c>
      <c r="Q16" s="144">
        <f t="shared" si="8"/>
        <v>8.6590610795220763E-2</v>
      </c>
      <c r="R16" s="144">
        <f t="shared" si="9"/>
        <v>0.27708995454470642</v>
      </c>
      <c r="S16" s="144">
        <f t="shared" si="10"/>
        <v>7.1697025738442785E-3</v>
      </c>
      <c r="T16" s="144">
        <f t="shared" si="11"/>
        <v>3.3770338210136097E-3</v>
      </c>
      <c r="U16" s="144">
        <f t="shared" si="12"/>
        <v>5.7435552140469921E-2</v>
      </c>
      <c r="V16" s="338">
        <f t="shared" si="13"/>
        <v>8.6590610795220763E-2</v>
      </c>
      <c r="W16" s="338">
        <f t="shared" si="14"/>
        <v>0.27708995454470642</v>
      </c>
      <c r="X16" s="338">
        <f t="shared" si="15"/>
        <v>7.1697025738442785E-3</v>
      </c>
      <c r="Y16" s="338">
        <f t="shared" si="16"/>
        <v>3.3770338210136097E-3</v>
      </c>
      <c r="Z16" s="338">
        <f t="shared" si="17"/>
        <v>5.7435552140469921E-2</v>
      </c>
      <c r="AA16" s="151">
        <v>1</v>
      </c>
      <c r="AB16" s="147">
        <v>2</v>
      </c>
      <c r="AC16" s="152">
        <v>1</v>
      </c>
      <c r="AD16" s="232">
        <f t="shared" si="18"/>
        <v>0</v>
      </c>
      <c r="AE16" s="232">
        <f t="shared" si="19"/>
        <v>8.6590610795220763E-2</v>
      </c>
      <c r="AF16" s="232">
        <f t="shared" si="20"/>
        <v>8.6590610795220763E-2</v>
      </c>
      <c r="AG16" s="232">
        <f>M16*VLOOKUP($AA16,'SKOR PPH'!$B$13:$D$21,3,FALSE)</f>
        <v>0</v>
      </c>
      <c r="AH16" s="232">
        <f>N16*VLOOKUP($AA16,'SKOR PPH'!$B$13:$D$21,3,FALSE)</f>
        <v>0</v>
      </c>
      <c r="AI16" s="232">
        <f>O16*VLOOKUP($AA16,'SKOR PPH'!$B$13:$D$21,3,FALSE)</f>
        <v>0</v>
      </c>
      <c r="AJ16" s="232">
        <f>P16*VLOOKUP($AA16,'SKOR PPH'!$B$13:$D$21,3,FALSE)</f>
        <v>0</v>
      </c>
      <c r="AK16" s="232">
        <f>$AD16*VLOOKUP($AA16,'SKOR PPH'!$B$13:$D$21,3,FALSE)</f>
        <v>0</v>
      </c>
      <c r="AL16" s="232">
        <f>R16*VLOOKUP($AA16,'SKOR PPH'!$B$13:$D$21,3,FALSE)</f>
        <v>0.28770249980376866</v>
      </c>
      <c r="AM16" s="232">
        <f>S16*VLOOKUP($AA16,'SKOR PPH'!$B$13:$D$21,3,FALSE)</f>
        <v>7.4443021824225145E-3</v>
      </c>
      <c r="AN16" s="232">
        <f>T16*VLOOKUP($AA16,'SKOR PPH'!$B$13:$D$21,3,FALSE)</f>
        <v>3.5063742163584308E-3</v>
      </c>
      <c r="AO16" s="232">
        <f>U16*VLOOKUP($AA16,'SKOR PPH'!$B$13:$D$21,3,FALSE)</f>
        <v>5.9635333787449916E-2</v>
      </c>
      <c r="AP16" s="232">
        <f>$AE16*VLOOKUP($AA16,'SKOR PPH'!$B$13:$D$21,3,FALSE)</f>
        <v>8.9907031188677725E-2</v>
      </c>
      <c r="AQ16" s="232">
        <f>W16*VLOOKUP($AA16,'SKOR PPH'!$B$13:$D$21,3,FALSE)</f>
        <v>0.28770249980376866</v>
      </c>
      <c r="AR16" s="232">
        <f>X16*VLOOKUP($AA16,'SKOR PPH'!$B$13:$D$21,3,FALSE)</f>
        <v>7.4443021824225145E-3</v>
      </c>
      <c r="AS16" s="232">
        <f>Y16*VLOOKUP($AA16,'SKOR PPH'!$B$13:$D$21,3,FALSE)</f>
        <v>3.5063742163584308E-3</v>
      </c>
      <c r="AT16" s="232">
        <f>Z16*VLOOKUP($AA16,'SKOR PPH'!$B$13:$D$21,3,FALSE)</f>
        <v>5.9635333787449916E-2</v>
      </c>
      <c r="AU16" s="232">
        <f>$AF16*VLOOKUP($AA16,'SKOR PPH'!$B$13:$D$21,3,FALSE)</f>
        <v>8.9907031188677725E-2</v>
      </c>
    </row>
    <row r="17" spans="2:47" ht="15" customHeight="1" x14ac:dyDescent="0.2">
      <c r="B17" s="147" t="s">
        <v>231</v>
      </c>
      <c r="C17" s="148">
        <v>1000</v>
      </c>
      <c r="D17" s="149">
        <v>3640</v>
      </c>
      <c r="E17" s="243">
        <v>70</v>
      </c>
      <c r="F17" s="149">
        <v>5</v>
      </c>
      <c r="G17" s="261">
        <v>800</v>
      </c>
      <c r="H17" s="150" t="s">
        <v>200</v>
      </c>
      <c r="I17" s="311">
        <v>0</v>
      </c>
      <c r="J17" s="311">
        <v>0</v>
      </c>
      <c r="K17" s="311">
        <v>0</v>
      </c>
      <c r="L17" s="144">
        <f t="shared" si="3"/>
        <v>0</v>
      </c>
      <c r="M17" s="144">
        <f t="shared" si="4"/>
        <v>0</v>
      </c>
      <c r="N17" s="144">
        <f t="shared" si="5"/>
        <v>0</v>
      </c>
      <c r="O17" s="144">
        <f t="shared" si="6"/>
        <v>0</v>
      </c>
      <c r="P17" s="144">
        <f t="shared" si="7"/>
        <v>0</v>
      </c>
      <c r="Q17" s="144">
        <f t="shared" si="8"/>
        <v>0</v>
      </c>
      <c r="R17" s="144">
        <f t="shared" si="9"/>
        <v>0</v>
      </c>
      <c r="S17" s="144">
        <f t="shared" si="10"/>
        <v>0</v>
      </c>
      <c r="T17" s="144">
        <f t="shared" si="11"/>
        <v>0</v>
      </c>
      <c r="U17" s="144">
        <f t="shared" si="12"/>
        <v>0</v>
      </c>
      <c r="V17" s="338">
        <f t="shared" si="13"/>
        <v>0</v>
      </c>
      <c r="W17" s="338">
        <f t="shared" si="14"/>
        <v>0</v>
      </c>
      <c r="X17" s="338">
        <f t="shared" si="15"/>
        <v>0</v>
      </c>
      <c r="Y17" s="338">
        <f t="shared" si="16"/>
        <v>0</v>
      </c>
      <c r="Z17" s="338">
        <f t="shared" si="17"/>
        <v>0</v>
      </c>
      <c r="AA17" s="151">
        <v>1</v>
      </c>
      <c r="AB17" s="147">
        <v>1</v>
      </c>
      <c r="AC17" s="152">
        <v>1.01</v>
      </c>
      <c r="AD17" s="232">
        <f t="shared" si="18"/>
        <v>0</v>
      </c>
      <c r="AE17" s="232">
        <f t="shared" si="19"/>
        <v>0</v>
      </c>
      <c r="AF17" s="232">
        <f t="shared" si="20"/>
        <v>0</v>
      </c>
      <c r="AG17" s="254">
        <f>M17*VLOOKUP($AA17,'SKOR PPH'!$B$13:$D$21,3,FALSE)</f>
        <v>0</v>
      </c>
      <c r="AH17" s="232">
        <f>N17*VLOOKUP($AA17,'SKOR PPH'!$B$13:$D$21,3,FALSE)</f>
        <v>0</v>
      </c>
      <c r="AI17" s="232">
        <f>O17*VLOOKUP($AA17,'SKOR PPH'!$B$13:$D$21,3,FALSE)</f>
        <v>0</v>
      </c>
      <c r="AJ17" s="232">
        <f>P17*VLOOKUP($AA17,'SKOR PPH'!$B$13:$D$21,3,FALSE)</f>
        <v>0</v>
      </c>
      <c r="AK17" s="232">
        <f>$AD17*VLOOKUP($AA17,'SKOR PPH'!$B$13:$D$21,3,FALSE)</f>
        <v>0</v>
      </c>
      <c r="AL17" s="254">
        <f>R17*VLOOKUP($AA17,'SKOR PPH'!$B$13:$D$21,3,FALSE)</f>
        <v>0</v>
      </c>
      <c r="AM17" s="232">
        <f>S17*VLOOKUP($AA17,'SKOR PPH'!$B$13:$D$21,3,FALSE)</f>
        <v>0</v>
      </c>
      <c r="AN17" s="232">
        <f>T17*VLOOKUP($AA17,'SKOR PPH'!$B$13:$D$21,3,FALSE)</f>
        <v>0</v>
      </c>
      <c r="AO17" s="232">
        <f>U17*VLOOKUP($AA17,'SKOR PPH'!$B$13:$D$21,3,FALSE)</f>
        <v>0</v>
      </c>
      <c r="AP17" s="232">
        <f>$AE17*VLOOKUP($AA17,'SKOR PPH'!$B$13:$D$21,3,FALSE)</f>
        <v>0</v>
      </c>
      <c r="AQ17" s="254">
        <f>W17*VLOOKUP($AA17,'SKOR PPH'!$B$13:$D$21,3,FALSE)</f>
        <v>0</v>
      </c>
      <c r="AR17" s="232">
        <f>X17*VLOOKUP($AA17,'SKOR PPH'!$B$13:$D$21,3,FALSE)</f>
        <v>0</v>
      </c>
      <c r="AS17" s="232">
        <f>Y17*VLOOKUP($AA17,'SKOR PPH'!$B$13:$D$21,3,FALSE)</f>
        <v>0</v>
      </c>
      <c r="AT17" s="232">
        <f>Z17*VLOOKUP($AA17,'SKOR PPH'!$B$13:$D$21,3,FALSE)</f>
        <v>0</v>
      </c>
      <c r="AU17" s="232">
        <f>$AF17*VLOOKUP($AA17,'SKOR PPH'!$B$13:$D$21,3,FALSE)</f>
        <v>0</v>
      </c>
    </row>
    <row r="18" spans="2:47" ht="15" customHeight="1" x14ac:dyDescent="0.2">
      <c r="B18" s="147" t="s">
        <v>232</v>
      </c>
      <c r="C18" s="148">
        <v>1000</v>
      </c>
      <c r="D18" s="149">
        <v>3550</v>
      </c>
      <c r="E18" s="243">
        <v>92</v>
      </c>
      <c r="F18" s="149">
        <v>39</v>
      </c>
      <c r="G18" s="261">
        <v>737</v>
      </c>
      <c r="H18" s="150" t="s">
        <v>200</v>
      </c>
      <c r="I18" s="311">
        <v>0</v>
      </c>
      <c r="J18" s="311">
        <v>0</v>
      </c>
      <c r="K18" s="311">
        <v>0</v>
      </c>
      <c r="L18" s="144">
        <f t="shared" si="3"/>
        <v>0</v>
      </c>
      <c r="M18" s="144">
        <f t="shared" si="4"/>
        <v>0</v>
      </c>
      <c r="N18" s="144">
        <f t="shared" si="5"/>
        <v>0</v>
      </c>
      <c r="O18" s="144">
        <f t="shared" si="6"/>
        <v>0</v>
      </c>
      <c r="P18" s="144">
        <f t="shared" si="7"/>
        <v>0</v>
      </c>
      <c r="Q18" s="144">
        <f t="shared" si="8"/>
        <v>0</v>
      </c>
      <c r="R18" s="144">
        <f t="shared" si="9"/>
        <v>0</v>
      </c>
      <c r="S18" s="144">
        <f t="shared" si="10"/>
        <v>0</v>
      </c>
      <c r="T18" s="144">
        <f t="shared" si="11"/>
        <v>0</v>
      </c>
      <c r="U18" s="144">
        <f t="shared" si="12"/>
        <v>0</v>
      </c>
      <c r="V18" s="338">
        <f t="shared" si="13"/>
        <v>0</v>
      </c>
      <c r="W18" s="338">
        <f t="shared" si="14"/>
        <v>0</v>
      </c>
      <c r="X18" s="338">
        <f t="shared" si="15"/>
        <v>0</v>
      </c>
      <c r="Y18" s="338">
        <f t="shared" si="16"/>
        <v>0</v>
      </c>
      <c r="Z18" s="338">
        <f t="shared" si="17"/>
        <v>0</v>
      </c>
      <c r="AA18" s="151">
        <v>1</v>
      </c>
      <c r="AB18" s="147">
        <v>2</v>
      </c>
      <c r="AC18" s="152">
        <v>2.5299999999999998</v>
      </c>
      <c r="AD18" s="232">
        <f t="shared" si="18"/>
        <v>0</v>
      </c>
      <c r="AE18" s="232">
        <f t="shared" si="19"/>
        <v>0</v>
      </c>
      <c r="AF18" s="232">
        <f t="shared" si="20"/>
        <v>0</v>
      </c>
      <c r="AG18" s="232">
        <f>M18*VLOOKUP($AA18,'SKOR PPH'!$B$13:$D$21,3,FALSE)</f>
        <v>0</v>
      </c>
      <c r="AH18" s="232">
        <f>N18*VLOOKUP($AA18,'SKOR PPH'!$B$13:$D$21,3,FALSE)</f>
        <v>0</v>
      </c>
      <c r="AI18" s="232">
        <f>O18*VLOOKUP($AA18,'SKOR PPH'!$B$13:$D$21,3,FALSE)</f>
        <v>0</v>
      </c>
      <c r="AJ18" s="232">
        <f>P18*VLOOKUP($AA18,'SKOR PPH'!$B$13:$D$21,3,FALSE)</f>
        <v>0</v>
      </c>
      <c r="AK18" s="232">
        <f>$AD18*VLOOKUP($AA18,'SKOR PPH'!$B$13:$D$21,3,FALSE)</f>
        <v>0</v>
      </c>
      <c r="AL18" s="232">
        <f>R18*VLOOKUP($AA18,'SKOR PPH'!$B$13:$D$21,3,FALSE)</f>
        <v>0</v>
      </c>
      <c r="AM18" s="232">
        <f>S18*VLOOKUP($AA18,'SKOR PPH'!$B$13:$D$21,3,FALSE)</f>
        <v>0</v>
      </c>
      <c r="AN18" s="232">
        <f>T18*VLOOKUP($AA18,'SKOR PPH'!$B$13:$D$21,3,FALSE)</f>
        <v>0</v>
      </c>
      <c r="AO18" s="232">
        <f>U18*VLOOKUP($AA18,'SKOR PPH'!$B$13:$D$21,3,FALSE)</f>
        <v>0</v>
      </c>
      <c r="AP18" s="232">
        <f>$AE18*VLOOKUP($AA18,'SKOR PPH'!$B$13:$D$21,3,FALSE)</f>
        <v>0</v>
      </c>
      <c r="AQ18" s="232">
        <f>W18*VLOOKUP($AA18,'SKOR PPH'!$B$13:$D$21,3,FALSE)</f>
        <v>0</v>
      </c>
      <c r="AR18" s="232">
        <f>X18*VLOOKUP($AA18,'SKOR PPH'!$B$13:$D$21,3,FALSE)</f>
        <v>0</v>
      </c>
      <c r="AS18" s="232">
        <f>Y18*VLOOKUP($AA18,'SKOR PPH'!$B$13:$D$21,3,FALSE)</f>
        <v>0</v>
      </c>
      <c r="AT18" s="232">
        <f>Z18*VLOOKUP($AA18,'SKOR PPH'!$B$13:$D$21,3,FALSE)</f>
        <v>0</v>
      </c>
      <c r="AU18" s="232">
        <f>$AF18*VLOOKUP($AA18,'SKOR PPH'!$B$13:$D$21,3,FALSE)</f>
        <v>0</v>
      </c>
    </row>
    <row r="19" spans="2:47" ht="15" customHeight="1" x14ac:dyDescent="0.2">
      <c r="B19" s="147" t="s">
        <v>233</v>
      </c>
      <c r="C19" s="148">
        <v>1000</v>
      </c>
      <c r="D19" s="149">
        <v>3330</v>
      </c>
      <c r="E19" s="243">
        <v>90</v>
      </c>
      <c r="F19" s="149">
        <v>10</v>
      </c>
      <c r="G19" s="261">
        <v>772</v>
      </c>
      <c r="H19" s="150" t="s">
        <v>200</v>
      </c>
      <c r="I19" s="311">
        <v>2.6360501289610003E-3</v>
      </c>
      <c r="J19" s="311">
        <v>6.4761369886939908E-3</v>
      </c>
      <c r="K19" s="311">
        <v>9.1121871176549907E-3</v>
      </c>
      <c r="L19" s="144">
        <f t="shared" si="3"/>
        <v>0.37657858985157144</v>
      </c>
      <c r="M19" s="144">
        <f t="shared" si="4"/>
        <v>1.254006704205733</v>
      </c>
      <c r="N19" s="144">
        <f t="shared" si="5"/>
        <v>3.3892073086641432E-2</v>
      </c>
      <c r="O19" s="144">
        <f t="shared" si="6"/>
        <v>3.7657858985157147E-3</v>
      </c>
      <c r="P19" s="144">
        <f t="shared" si="7"/>
        <v>0.29071867136541318</v>
      </c>
      <c r="Q19" s="144">
        <f t="shared" si="8"/>
        <v>0.92516242695628448</v>
      </c>
      <c r="R19" s="144">
        <f t="shared" si="9"/>
        <v>3.0807908817644267</v>
      </c>
      <c r="S19" s="144">
        <f t="shared" si="10"/>
        <v>8.3264618426065598E-2</v>
      </c>
      <c r="T19" s="144">
        <f t="shared" si="11"/>
        <v>9.2516242695628442E-3</v>
      </c>
      <c r="U19" s="144">
        <f t="shared" si="12"/>
        <v>0.71422539361025161</v>
      </c>
      <c r="V19" s="338">
        <f t="shared" si="13"/>
        <v>1.3017410168078558</v>
      </c>
      <c r="W19" s="338">
        <f t="shared" si="14"/>
        <v>4.3347975859701595</v>
      </c>
      <c r="X19" s="338">
        <f t="shared" si="15"/>
        <v>0.11715669151270702</v>
      </c>
      <c r="Y19" s="338">
        <f t="shared" si="16"/>
        <v>1.3017410168078558E-2</v>
      </c>
      <c r="Z19" s="338">
        <f t="shared" si="17"/>
        <v>1.0049440649756647</v>
      </c>
      <c r="AA19" s="151">
        <v>1</v>
      </c>
      <c r="AB19" s="147">
        <v>3</v>
      </c>
      <c r="AC19" s="152">
        <v>1</v>
      </c>
      <c r="AD19" s="232">
        <f t="shared" si="18"/>
        <v>0.37657858985157144</v>
      </c>
      <c r="AE19" s="232">
        <f t="shared" si="19"/>
        <v>0.92516242695628448</v>
      </c>
      <c r="AF19" s="232">
        <f t="shared" si="20"/>
        <v>1.3017410168078558</v>
      </c>
      <c r="AG19" s="232">
        <f>M19*VLOOKUP($AA19,'SKOR PPH'!$B$13:$D$21,3,FALSE)</f>
        <v>1.3020351609768126</v>
      </c>
      <c r="AH19" s="232">
        <f>N19*VLOOKUP($AA19,'SKOR PPH'!$B$13:$D$21,3,FALSE)</f>
        <v>3.5190139485859799E-2</v>
      </c>
      <c r="AI19" s="232">
        <f>O19*VLOOKUP($AA19,'SKOR PPH'!$B$13:$D$21,3,FALSE)</f>
        <v>3.9100154984288669E-3</v>
      </c>
      <c r="AJ19" s="232">
        <f>P19*VLOOKUP($AA19,'SKOR PPH'!$B$13:$D$21,3,FALSE)</f>
        <v>0.30185319647870851</v>
      </c>
      <c r="AK19" s="232">
        <f>$AD19*VLOOKUP($AA19,'SKOR PPH'!$B$13:$D$21,3,FALSE)</f>
        <v>0.39100154984288665</v>
      </c>
      <c r="AL19" s="232">
        <f>R19*VLOOKUP($AA19,'SKOR PPH'!$B$13:$D$21,3,FALSE)</f>
        <v>3.1987851725360041</v>
      </c>
      <c r="AM19" s="232">
        <f>S19*VLOOKUP($AA19,'SKOR PPH'!$B$13:$D$21,3,FALSE)</f>
        <v>8.645365331178391E-2</v>
      </c>
      <c r="AN19" s="232">
        <f>T19*VLOOKUP($AA19,'SKOR PPH'!$B$13:$D$21,3,FALSE)</f>
        <v>9.6059614790871013E-3</v>
      </c>
      <c r="AO19" s="232">
        <f>U19*VLOOKUP($AA19,'SKOR PPH'!$B$13:$D$21,3,FALSE)</f>
        <v>0.74158022618552422</v>
      </c>
      <c r="AP19" s="232">
        <f>$AE19*VLOOKUP($AA19,'SKOR PPH'!$B$13:$D$21,3,FALSE)</f>
        <v>0.96059614790871017</v>
      </c>
      <c r="AQ19" s="232">
        <f>W19*VLOOKUP($AA19,'SKOR PPH'!$B$13:$D$21,3,FALSE)</f>
        <v>4.5008203335128165</v>
      </c>
      <c r="AR19" s="232">
        <f>X19*VLOOKUP($AA19,'SKOR PPH'!$B$13:$D$21,3,FALSE)</f>
        <v>0.1216437927976437</v>
      </c>
      <c r="AS19" s="232">
        <f>Y19*VLOOKUP($AA19,'SKOR PPH'!$B$13:$D$21,3,FALSE)</f>
        <v>1.3515976977515966E-2</v>
      </c>
      <c r="AT19" s="232">
        <f>Z19*VLOOKUP($AA19,'SKOR PPH'!$B$13:$D$21,3,FALSE)</f>
        <v>1.0434334226642326</v>
      </c>
      <c r="AU19" s="232">
        <f>$AF19*VLOOKUP($AA19,'SKOR PPH'!$B$13:$D$21,3,FALSE)</f>
        <v>1.3515976977515967</v>
      </c>
    </row>
    <row r="20" spans="2:47" ht="15" customHeight="1" x14ac:dyDescent="0.2">
      <c r="B20" s="153" t="s">
        <v>234</v>
      </c>
      <c r="C20" s="154">
        <v>1000</v>
      </c>
      <c r="D20" s="155">
        <v>3520</v>
      </c>
      <c r="E20" s="244">
        <v>73</v>
      </c>
      <c r="F20" s="155">
        <v>9</v>
      </c>
      <c r="G20" s="262">
        <v>762</v>
      </c>
      <c r="H20" s="156" t="s">
        <v>200</v>
      </c>
      <c r="I20" s="311">
        <v>0</v>
      </c>
      <c r="J20" s="311">
        <v>0</v>
      </c>
      <c r="K20" s="311">
        <v>0</v>
      </c>
      <c r="L20" s="144">
        <f t="shared" si="3"/>
        <v>0</v>
      </c>
      <c r="M20" s="144">
        <f t="shared" si="4"/>
        <v>0</v>
      </c>
      <c r="N20" s="144">
        <f t="shared" si="5"/>
        <v>0</v>
      </c>
      <c r="O20" s="144">
        <f t="shared" si="6"/>
        <v>0</v>
      </c>
      <c r="P20" s="144">
        <f t="shared" si="7"/>
        <v>0</v>
      </c>
      <c r="Q20" s="144">
        <f t="shared" si="8"/>
        <v>0</v>
      </c>
      <c r="R20" s="144">
        <f t="shared" si="9"/>
        <v>0</v>
      </c>
      <c r="S20" s="144">
        <f t="shared" si="10"/>
        <v>0</v>
      </c>
      <c r="T20" s="144">
        <f t="shared" si="11"/>
        <v>0</v>
      </c>
      <c r="U20" s="144">
        <f t="shared" si="12"/>
        <v>0</v>
      </c>
      <c r="V20" s="338">
        <f t="shared" si="13"/>
        <v>0</v>
      </c>
      <c r="W20" s="338">
        <f t="shared" si="14"/>
        <v>0</v>
      </c>
      <c r="X20" s="338">
        <f t="shared" si="15"/>
        <v>0</v>
      </c>
      <c r="Y20" s="338">
        <f t="shared" si="16"/>
        <v>0</v>
      </c>
      <c r="Z20" s="338">
        <f t="shared" si="17"/>
        <v>0</v>
      </c>
      <c r="AA20" s="157">
        <v>1</v>
      </c>
      <c r="AB20" s="153">
        <v>1</v>
      </c>
      <c r="AC20" s="158">
        <v>1</v>
      </c>
      <c r="AD20" s="232">
        <f t="shared" si="18"/>
        <v>0</v>
      </c>
      <c r="AE20" s="232">
        <f t="shared" si="19"/>
        <v>0</v>
      </c>
      <c r="AF20" s="232">
        <f t="shared" si="20"/>
        <v>0</v>
      </c>
      <c r="AG20" s="254">
        <f>M20*VLOOKUP($AA20,'SKOR PPH'!$B$13:$D$21,3,FALSE)</f>
        <v>0</v>
      </c>
      <c r="AH20" s="232">
        <f>N20*VLOOKUP($AA20,'SKOR PPH'!$B$13:$D$21,3,FALSE)</f>
        <v>0</v>
      </c>
      <c r="AI20" s="232">
        <f>O20*VLOOKUP($AA20,'SKOR PPH'!$B$13:$D$21,3,FALSE)</f>
        <v>0</v>
      </c>
      <c r="AJ20" s="232">
        <f>P20*VLOOKUP($AA20,'SKOR PPH'!$B$13:$D$21,3,FALSE)</f>
        <v>0</v>
      </c>
      <c r="AK20" s="232">
        <f>$AD20*VLOOKUP($AA20,'SKOR PPH'!$B$13:$D$21,3,FALSE)</f>
        <v>0</v>
      </c>
      <c r="AL20" s="254">
        <f>R20*VLOOKUP($AA20,'SKOR PPH'!$B$13:$D$21,3,FALSE)</f>
        <v>0</v>
      </c>
      <c r="AM20" s="232">
        <f>S20*VLOOKUP($AA20,'SKOR PPH'!$B$13:$D$21,3,FALSE)</f>
        <v>0</v>
      </c>
      <c r="AN20" s="232">
        <f>T20*VLOOKUP($AA20,'SKOR PPH'!$B$13:$D$21,3,FALSE)</f>
        <v>0</v>
      </c>
      <c r="AO20" s="232">
        <f>U20*VLOOKUP($AA20,'SKOR PPH'!$B$13:$D$21,3,FALSE)</f>
        <v>0</v>
      </c>
      <c r="AP20" s="232">
        <f>$AE20*VLOOKUP($AA20,'SKOR PPH'!$B$13:$D$21,3,FALSE)</f>
        <v>0</v>
      </c>
      <c r="AQ20" s="254">
        <f>W20*VLOOKUP($AA20,'SKOR PPH'!$B$13:$D$21,3,FALSE)</f>
        <v>0</v>
      </c>
      <c r="AR20" s="232">
        <f>X20*VLOOKUP($AA20,'SKOR PPH'!$B$13:$D$21,3,FALSE)</f>
        <v>0</v>
      </c>
      <c r="AS20" s="232">
        <f>Y20*VLOOKUP($AA20,'SKOR PPH'!$B$13:$D$21,3,FALSE)</f>
        <v>0</v>
      </c>
      <c r="AT20" s="232">
        <f>Z20*VLOOKUP($AA20,'SKOR PPH'!$B$13:$D$21,3,FALSE)</f>
        <v>0</v>
      </c>
      <c r="AU20" s="232">
        <f>$AF20*VLOOKUP($AA20,'SKOR PPH'!$B$13:$D$21,3,FALSE)</f>
        <v>0</v>
      </c>
    </row>
    <row r="21" spans="2:47" ht="15" customHeight="1" x14ac:dyDescent="0.2">
      <c r="B21" s="159"/>
      <c r="C21" s="160"/>
      <c r="D21" s="161"/>
      <c r="E21" s="245"/>
      <c r="F21" s="161"/>
      <c r="G21" s="161"/>
      <c r="H21" s="265"/>
      <c r="I21" s="312"/>
      <c r="J21" s="312"/>
      <c r="K21" s="312"/>
      <c r="L21" s="321"/>
      <c r="M21" s="163"/>
      <c r="N21" s="163"/>
      <c r="O21" s="162"/>
      <c r="P21" s="164"/>
      <c r="Q21" s="321"/>
      <c r="R21" s="163"/>
      <c r="S21" s="163"/>
      <c r="T21" s="162"/>
      <c r="U21" s="164"/>
      <c r="V21" s="321"/>
      <c r="W21" s="163"/>
      <c r="X21" s="163"/>
      <c r="Y21" s="162"/>
      <c r="Z21" s="164"/>
      <c r="AA21" s="165"/>
      <c r="AB21" s="165"/>
      <c r="AC21" s="166"/>
      <c r="AD21" s="233"/>
      <c r="AE21" s="233"/>
      <c r="AF21" s="233"/>
      <c r="AG21" s="233"/>
      <c r="AH21" s="233"/>
      <c r="AI21" s="233"/>
      <c r="AJ21" s="233"/>
      <c r="AK21" s="233"/>
      <c r="AL21" s="233"/>
      <c r="AM21" s="233"/>
      <c r="AN21" s="233"/>
      <c r="AO21" s="233"/>
      <c r="AP21" s="233"/>
      <c r="AQ21" s="233"/>
      <c r="AR21" s="233"/>
      <c r="AS21" s="233"/>
      <c r="AT21" s="233"/>
      <c r="AU21" s="233"/>
    </row>
    <row r="22" spans="2:47" ht="15" customHeight="1" x14ac:dyDescent="0.2">
      <c r="B22" s="167" t="s">
        <v>11</v>
      </c>
      <c r="C22" s="168"/>
      <c r="D22" s="169"/>
      <c r="E22" s="246"/>
      <c r="F22" s="169"/>
      <c r="G22" s="169"/>
      <c r="H22" s="266"/>
      <c r="I22" s="313"/>
      <c r="J22" s="313"/>
      <c r="K22" s="313"/>
      <c r="L22" s="322"/>
      <c r="M22" s="170"/>
      <c r="N22" s="170"/>
      <c r="O22" s="323"/>
      <c r="P22" s="171"/>
      <c r="Q22" s="322"/>
      <c r="R22" s="170"/>
      <c r="S22" s="170"/>
      <c r="T22" s="323"/>
      <c r="U22" s="171"/>
      <c r="V22" s="322"/>
      <c r="W22" s="170"/>
      <c r="X22" s="170"/>
      <c r="Y22" s="323"/>
      <c r="Z22" s="171"/>
      <c r="AA22" s="172"/>
      <c r="AB22" s="172"/>
      <c r="AC22" s="173"/>
      <c r="AD22" s="234"/>
      <c r="AE22" s="234"/>
      <c r="AF22" s="234"/>
      <c r="AG22" s="234"/>
      <c r="AH22" s="234"/>
      <c r="AI22" s="234"/>
      <c r="AJ22" s="234"/>
      <c r="AK22" s="234"/>
      <c r="AL22" s="234"/>
      <c r="AM22" s="234"/>
      <c r="AN22" s="234"/>
      <c r="AO22" s="234"/>
      <c r="AP22" s="234"/>
      <c r="AQ22" s="234"/>
      <c r="AR22" s="234"/>
      <c r="AS22" s="234"/>
      <c r="AT22" s="234"/>
      <c r="AU22" s="234"/>
    </row>
    <row r="23" spans="2:47" ht="15" customHeight="1" x14ac:dyDescent="0.2">
      <c r="B23" s="140" t="s">
        <v>294</v>
      </c>
      <c r="C23" s="141">
        <v>1000</v>
      </c>
      <c r="D23" s="142">
        <v>1309</v>
      </c>
      <c r="E23" s="242">
        <v>8.5</v>
      </c>
      <c r="F23" s="142">
        <v>2.5499999999999998</v>
      </c>
      <c r="G23" s="260">
        <v>312.8</v>
      </c>
      <c r="H23" s="143" t="s">
        <v>200</v>
      </c>
      <c r="I23" s="311">
        <v>7.1012861250531662E-4</v>
      </c>
      <c r="J23" s="311">
        <v>1.1834570213348387E-2</v>
      </c>
      <c r="K23" s="311">
        <v>1.2544698825853707E-2</v>
      </c>
      <c r="L23" s="144">
        <f t="shared" ref="L23:L31" si="21">$I23*C23/7</f>
        <v>0.10144694464361667</v>
      </c>
      <c r="M23" s="144">
        <f t="shared" ref="M23:M31" si="22">$I23*D23/7</f>
        <v>0.13279405053849422</v>
      </c>
      <c r="N23" s="144">
        <f t="shared" ref="N23:N31" si="23">$I23*E23/7</f>
        <v>8.6229902947074157E-4</v>
      </c>
      <c r="O23" s="144">
        <f t="shared" ref="O23:O31" si="24">$I23*F23/7</f>
        <v>2.5868970884122247E-4</v>
      </c>
      <c r="P23" s="144">
        <f t="shared" ref="P23:P31" si="25">$I23*G23/7</f>
        <v>3.1732604284523291E-2</v>
      </c>
      <c r="Q23" s="144">
        <f t="shared" ref="Q23:Q31" si="26">$J23*C23/7</f>
        <v>1.6906528876211981</v>
      </c>
      <c r="R23" s="144">
        <f t="shared" ref="R23:R31" si="27">$J23*D23/7</f>
        <v>2.2130646298961483</v>
      </c>
      <c r="S23" s="144">
        <f t="shared" ref="S23:S31" si="28">$J23*E23/7</f>
        <v>1.4370549544780184E-2</v>
      </c>
      <c r="T23" s="144">
        <f t="shared" ref="T23:T31" si="29">$J23*F23/7</f>
        <v>4.3111648634340544E-3</v>
      </c>
      <c r="U23" s="144">
        <f t="shared" ref="U23:U31" si="30">$J23*G23/7</f>
        <v>0.5288362232479108</v>
      </c>
      <c r="V23" s="338">
        <f t="shared" ref="V23:V31" si="31">$K23*C23/7</f>
        <v>1.7920998322648152</v>
      </c>
      <c r="W23" s="338">
        <f t="shared" ref="W23:W31" si="32">$K23*D23/7</f>
        <v>2.3458586804346431</v>
      </c>
      <c r="X23" s="338">
        <f t="shared" ref="X23:X31" si="33">$K23*E23/7</f>
        <v>1.523284857425093E-2</v>
      </c>
      <c r="Y23" s="338">
        <f t="shared" ref="Y23:Y31" si="34">$K23*F23/7</f>
        <v>4.5698545722752792E-3</v>
      </c>
      <c r="Z23" s="338">
        <f t="shared" ref="Z23:Z31" si="35">$K23*G23/7</f>
        <v>0.5605688275324342</v>
      </c>
      <c r="AA23" s="145">
        <v>2</v>
      </c>
      <c r="AB23" s="174">
        <v>4</v>
      </c>
      <c r="AC23" s="175">
        <v>1</v>
      </c>
      <c r="AD23" s="232">
        <f t="shared" ref="AD23:AD31" si="36">$L23*$AC23</f>
        <v>0.10144694464361667</v>
      </c>
      <c r="AE23" s="232">
        <f t="shared" ref="AE23:AE31" si="37">$Q23*$AC23</f>
        <v>1.6906528876211981</v>
      </c>
      <c r="AF23" s="232">
        <f t="shared" ref="AF23:AF31" si="38">$V23*$AC23</f>
        <v>1.7920998322648152</v>
      </c>
      <c r="AG23" s="232">
        <f>M23*VLOOKUP($AA23,'SKOR PPH'!$B$13:$D$21,3,FALSE)</f>
        <v>0.12823921460502385</v>
      </c>
      <c r="AH23" s="232">
        <f>N23*VLOOKUP($AA23,'SKOR PPH'!$B$13:$D$21,3,FALSE)</f>
        <v>8.3272217275989508E-4</v>
      </c>
      <c r="AI23" s="232">
        <f>O23*VLOOKUP($AA23,'SKOR PPH'!$B$13:$D$21,3,FALSE)</f>
        <v>2.4981665182796854E-4</v>
      </c>
      <c r="AJ23" s="232">
        <f>P23*VLOOKUP($AA23,'SKOR PPH'!$B$13:$D$21,3,FALSE)</f>
        <v>3.0644175957564142E-2</v>
      </c>
      <c r="AK23" s="232">
        <f>$AD23*VLOOKUP($AA23,'SKOR PPH'!$B$13:$D$21,3,FALSE)</f>
        <v>9.7967314442340622E-2</v>
      </c>
      <c r="AL23" s="232">
        <f>R23*VLOOKUP($AA23,'SKOR PPH'!$B$13:$D$21,3,FALSE)</f>
        <v>2.1371565130907104</v>
      </c>
      <c r="AM23" s="232">
        <f>S23*VLOOKUP($AA23,'SKOR PPH'!$B$13:$D$21,3,FALSE)</f>
        <v>1.3877639695394224E-2</v>
      </c>
      <c r="AN23" s="232">
        <f>T23*VLOOKUP($AA23,'SKOR PPH'!$B$13:$D$21,3,FALSE)</f>
        <v>4.1632919086182661E-3</v>
      </c>
      <c r="AO23" s="232">
        <f>U23*VLOOKUP($AA23,'SKOR PPH'!$B$13:$D$21,3,FALSE)</f>
        <v>0.51069714079050743</v>
      </c>
      <c r="AP23" s="232">
        <f>$AE23*VLOOKUP($AA23,'SKOR PPH'!$B$13:$D$21,3,FALSE)</f>
        <v>1.6326634935757911</v>
      </c>
      <c r="AQ23" s="232">
        <f>W23*VLOOKUP($AA23,'SKOR PPH'!$B$13:$D$21,3,FALSE)</f>
        <v>2.2653957276957346</v>
      </c>
      <c r="AR23" s="232">
        <f>X23*VLOOKUP($AA23,'SKOR PPH'!$B$13:$D$21,3,FALSE)</f>
        <v>1.4710361868154123E-2</v>
      </c>
      <c r="AS23" s="232">
        <f>Y23*VLOOKUP($AA23,'SKOR PPH'!$B$13:$D$21,3,FALSE)</f>
        <v>4.4131085604462369E-3</v>
      </c>
      <c r="AT23" s="232">
        <f>Z23*VLOOKUP($AA23,'SKOR PPH'!$B$13:$D$21,3,FALSE)</f>
        <v>0.54134131674807173</v>
      </c>
      <c r="AU23" s="232">
        <f>$AF23*VLOOKUP($AA23,'SKOR PPH'!$B$13:$D$21,3,FALSE)</f>
        <v>1.7306308080181321</v>
      </c>
    </row>
    <row r="24" spans="2:47" ht="15" customHeight="1" x14ac:dyDescent="0.2">
      <c r="B24" s="147" t="s">
        <v>295</v>
      </c>
      <c r="C24" s="148">
        <v>1000</v>
      </c>
      <c r="D24" s="149">
        <v>1252</v>
      </c>
      <c r="E24" s="243">
        <v>11.78</v>
      </c>
      <c r="F24" s="149">
        <v>3.26</v>
      </c>
      <c r="G24" s="261">
        <v>293.68</v>
      </c>
      <c r="H24" s="150" t="s">
        <v>200</v>
      </c>
      <c r="I24" s="311">
        <v>3.7000208489790538E-3</v>
      </c>
      <c r="J24" s="311">
        <v>1.5102404813260854E-2</v>
      </c>
      <c r="K24" s="311">
        <v>1.8802425662239903E-2</v>
      </c>
      <c r="L24" s="144">
        <f t="shared" si="21"/>
        <v>0.52857440699700764</v>
      </c>
      <c r="M24" s="144">
        <f t="shared" si="22"/>
        <v>0.66177515756025362</v>
      </c>
      <c r="N24" s="144">
        <f t="shared" si="23"/>
        <v>6.2266065144247502E-3</v>
      </c>
      <c r="O24" s="144">
        <f t="shared" si="24"/>
        <v>1.7231525668102449E-3</v>
      </c>
      <c r="P24" s="144">
        <f t="shared" si="25"/>
        <v>0.15523173184688122</v>
      </c>
      <c r="Q24" s="144">
        <f t="shared" si="26"/>
        <v>2.1574864018944075</v>
      </c>
      <c r="R24" s="144">
        <f t="shared" si="27"/>
        <v>2.7011729751717986</v>
      </c>
      <c r="S24" s="144">
        <f t="shared" si="28"/>
        <v>2.5415189814316123E-2</v>
      </c>
      <c r="T24" s="144">
        <f t="shared" si="29"/>
        <v>7.0334056701757686E-3</v>
      </c>
      <c r="U24" s="144">
        <f t="shared" si="30"/>
        <v>0.63361060650834966</v>
      </c>
      <c r="V24" s="338">
        <f t="shared" si="31"/>
        <v>2.6860608088914146</v>
      </c>
      <c r="W24" s="338">
        <f t="shared" si="32"/>
        <v>3.362948132732051</v>
      </c>
      <c r="X24" s="338">
        <f t="shared" si="33"/>
        <v>3.1641796328740861E-2</v>
      </c>
      <c r="Y24" s="338">
        <f t="shared" si="34"/>
        <v>8.7565582369860118E-3</v>
      </c>
      <c r="Z24" s="338">
        <f t="shared" si="35"/>
        <v>0.78884233835523065</v>
      </c>
      <c r="AA24" s="151">
        <v>2</v>
      </c>
      <c r="AB24" s="176">
        <v>5</v>
      </c>
      <c r="AC24" s="177">
        <v>1</v>
      </c>
      <c r="AD24" s="232">
        <f t="shared" si="36"/>
        <v>0.52857440699700764</v>
      </c>
      <c r="AE24" s="232">
        <f t="shared" si="37"/>
        <v>2.1574864018944075</v>
      </c>
      <c r="AF24" s="232">
        <f t="shared" si="38"/>
        <v>2.6860608088914146</v>
      </c>
      <c r="AG24" s="232">
        <f>M24*VLOOKUP($AA24,'SKOR PPH'!$B$13:$D$21,3,FALSE)</f>
        <v>0.63907626965593689</v>
      </c>
      <c r="AH24" s="232">
        <f>N24*VLOOKUP($AA24,'SKOR PPH'!$B$13:$D$21,3,FALSE)</f>
        <v>6.0130339109799816E-3</v>
      </c>
      <c r="AI24" s="232">
        <f>O24*VLOOKUP($AA24,'SKOR PPH'!$B$13:$D$21,3,FALSE)</f>
        <v>1.6640484337686536E-3</v>
      </c>
      <c r="AJ24" s="232">
        <f>P24*VLOOKUP($AA24,'SKOR PPH'!$B$13:$D$21,3,FALSE)</f>
        <v>0.14990728344453319</v>
      </c>
      <c r="AK24" s="232">
        <f>$AD24*VLOOKUP($AA24,'SKOR PPH'!$B$13:$D$21,3,FALSE)</f>
        <v>0.51044430483701031</v>
      </c>
      <c r="AL24" s="232">
        <f>R24*VLOOKUP($AA24,'SKOR PPH'!$B$13:$D$21,3,FALSE)</f>
        <v>2.6085227421234061</v>
      </c>
      <c r="AM24" s="232">
        <f>S24*VLOOKUP($AA24,'SKOR PPH'!$B$13:$D$21,3,FALSE)</f>
        <v>2.4543448803685079E-2</v>
      </c>
      <c r="AN24" s="232">
        <f>T24*VLOOKUP($AA24,'SKOR PPH'!$B$13:$D$21,3,FALSE)</f>
        <v>6.7921598556887394E-3</v>
      </c>
      <c r="AO24" s="232">
        <f>U24*VLOOKUP($AA24,'SKOR PPH'!$B$13:$D$21,3,FALSE)</f>
        <v>0.61187776270511329</v>
      </c>
      <c r="AP24" s="232">
        <f>$AE24*VLOOKUP($AA24,'SKOR PPH'!$B$13:$D$21,3,FALSE)</f>
        <v>2.0834846183094293</v>
      </c>
      <c r="AQ24" s="232">
        <f>W24*VLOOKUP($AA24,'SKOR PPH'!$B$13:$D$21,3,FALSE)</f>
        <v>3.2475990117793416</v>
      </c>
      <c r="AR24" s="232">
        <f>X24*VLOOKUP($AA24,'SKOR PPH'!$B$13:$D$21,3,FALSE)</f>
        <v>3.0556482714665049E-2</v>
      </c>
      <c r="AS24" s="232">
        <f>Y24*VLOOKUP($AA24,'SKOR PPH'!$B$13:$D$21,3,FALSE)</f>
        <v>8.4562082894573919E-3</v>
      </c>
      <c r="AT24" s="232">
        <f>Z24*VLOOKUP($AA24,'SKOR PPH'!$B$13:$D$21,3,FALSE)</f>
        <v>0.76178504614964626</v>
      </c>
      <c r="AU24" s="232">
        <f>$AF24*VLOOKUP($AA24,'SKOR PPH'!$B$13:$D$21,3,FALSE)</f>
        <v>2.5939289231464393</v>
      </c>
    </row>
    <row r="25" spans="2:47" ht="15" customHeight="1" x14ac:dyDescent="0.2">
      <c r="B25" s="147" t="s">
        <v>296</v>
      </c>
      <c r="C25" s="148">
        <v>1000</v>
      </c>
      <c r="D25" s="149">
        <v>3380</v>
      </c>
      <c r="E25" s="243">
        <v>6</v>
      </c>
      <c r="F25" s="149">
        <v>3</v>
      </c>
      <c r="G25" s="261">
        <v>831</v>
      </c>
      <c r="H25" s="150" t="s">
        <v>200</v>
      </c>
      <c r="I25" s="311">
        <v>0</v>
      </c>
      <c r="J25" s="311">
        <v>0</v>
      </c>
      <c r="K25" s="311">
        <v>0</v>
      </c>
      <c r="L25" s="144">
        <f t="shared" si="21"/>
        <v>0</v>
      </c>
      <c r="M25" s="144">
        <f t="shared" si="22"/>
        <v>0</v>
      </c>
      <c r="N25" s="144">
        <f t="shared" si="23"/>
        <v>0</v>
      </c>
      <c r="O25" s="144">
        <f t="shared" si="24"/>
        <v>0</v>
      </c>
      <c r="P25" s="144">
        <f t="shared" si="25"/>
        <v>0</v>
      </c>
      <c r="Q25" s="144">
        <f t="shared" si="26"/>
        <v>0</v>
      </c>
      <c r="R25" s="144">
        <f t="shared" si="27"/>
        <v>0</v>
      </c>
      <c r="S25" s="144">
        <f t="shared" si="28"/>
        <v>0</v>
      </c>
      <c r="T25" s="144">
        <f t="shared" si="29"/>
        <v>0</v>
      </c>
      <c r="U25" s="144">
        <f t="shared" si="30"/>
        <v>0</v>
      </c>
      <c r="V25" s="338">
        <f t="shared" si="31"/>
        <v>0</v>
      </c>
      <c r="W25" s="338">
        <f t="shared" si="32"/>
        <v>0</v>
      </c>
      <c r="X25" s="338">
        <f t="shared" si="33"/>
        <v>0</v>
      </c>
      <c r="Y25" s="338">
        <f t="shared" si="34"/>
        <v>0</v>
      </c>
      <c r="Z25" s="338">
        <f t="shared" si="35"/>
        <v>0</v>
      </c>
      <c r="AA25" s="151">
        <v>2</v>
      </c>
      <c r="AB25" s="176">
        <v>7</v>
      </c>
      <c r="AC25" s="177">
        <v>1</v>
      </c>
      <c r="AD25" s="232">
        <f t="shared" si="36"/>
        <v>0</v>
      </c>
      <c r="AE25" s="232">
        <f t="shared" si="37"/>
        <v>0</v>
      </c>
      <c r="AF25" s="232">
        <f t="shared" si="38"/>
        <v>0</v>
      </c>
      <c r="AG25" s="232">
        <f>M25*VLOOKUP($AA25,'SKOR PPH'!$B$13:$D$21,3,FALSE)</f>
        <v>0</v>
      </c>
      <c r="AH25" s="232">
        <f>N25*VLOOKUP($AA25,'SKOR PPH'!$B$13:$D$21,3,FALSE)</f>
        <v>0</v>
      </c>
      <c r="AI25" s="232">
        <f>O25*VLOOKUP($AA25,'SKOR PPH'!$B$13:$D$21,3,FALSE)</f>
        <v>0</v>
      </c>
      <c r="AJ25" s="232">
        <f>P25*VLOOKUP($AA25,'SKOR PPH'!$B$13:$D$21,3,FALSE)</f>
        <v>0</v>
      </c>
      <c r="AK25" s="232">
        <f>$AD25*VLOOKUP($AA25,'SKOR PPH'!$B$13:$D$21,3,FALSE)</f>
        <v>0</v>
      </c>
      <c r="AL25" s="232">
        <f>R25*VLOOKUP($AA25,'SKOR PPH'!$B$13:$D$21,3,FALSE)</f>
        <v>0</v>
      </c>
      <c r="AM25" s="232">
        <f>S25*VLOOKUP($AA25,'SKOR PPH'!$B$13:$D$21,3,FALSE)</f>
        <v>0</v>
      </c>
      <c r="AN25" s="232">
        <f>T25*VLOOKUP($AA25,'SKOR PPH'!$B$13:$D$21,3,FALSE)</f>
        <v>0</v>
      </c>
      <c r="AO25" s="232">
        <f>U25*VLOOKUP($AA25,'SKOR PPH'!$B$13:$D$21,3,FALSE)</f>
        <v>0</v>
      </c>
      <c r="AP25" s="232">
        <f>$AE25*VLOOKUP($AA25,'SKOR PPH'!$B$13:$D$21,3,FALSE)</f>
        <v>0</v>
      </c>
      <c r="AQ25" s="232">
        <f>W25*VLOOKUP($AA25,'SKOR PPH'!$B$13:$D$21,3,FALSE)</f>
        <v>0</v>
      </c>
      <c r="AR25" s="232">
        <f>X25*VLOOKUP($AA25,'SKOR PPH'!$B$13:$D$21,3,FALSE)</f>
        <v>0</v>
      </c>
      <c r="AS25" s="232">
        <f>Y25*VLOOKUP($AA25,'SKOR PPH'!$B$13:$D$21,3,FALSE)</f>
        <v>0</v>
      </c>
      <c r="AT25" s="232">
        <f>Z25*VLOOKUP($AA25,'SKOR PPH'!$B$13:$D$21,3,FALSE)</f>
        <v>0</v>
      </c>
      <c r="AU25" s="232">
        <f>$AF25*VLOOKUP($AA25,'SKOR PPH'!$B$13:$D$21,3,FALSE)</f>
        <v>0</v>
      </c>
    </row>
    <row r="26" spans="2:47" ht="15" customHeight="1" x14ac:dyDescent="0.2">
      <c r="B26" s="147" t="s">
        <v>297</v>
      </c>
      <c r="C26" s="148">
        <v>1000</v>
      </c>
      <c r="D26" s="149">
        <v>1135</v>
      </c>
      <c r="E26" s="243">
        <v>15.5</v>
      </c>
      <c r="F26" s="149">
        <v>3.78</v>
      </c>
      <c r="G26" s="261">
        <v>257.31</v>
      </c>
      <c r="H26" s="150" t="s">
        <v>200</v>
      </c>
      <c r="I26" s="311">
        <v>0</v>
      </c>
      <c r="J26" s="311">
        <v>3.3424817172112609E-3</v>
      </c>
      <c r="K26" s="311">
        <v>3.3424817172112609E-3</v>
      </c>
      <c r="L26" s="144">
        <f t="shared" si="21"/>
        <v>0</v>
      </c>
      <c r="M26" s="144">
        <f t="shared" si="22"/>
        <v>0</v>
      </c>
      <c r="N26" s="144">
        <f t="shared" si="23"/>
        <v>0</v>
      </c>
      <c r="O26" s="144">
        <f t="shared" si="24"/>
        <v>0</v>
      </c>
      <c r="P26" s="144">
        <f t="shared" si="25"/>
        <v>0</v>
      </c>
      <c r="Q26" s="144">
        <f t="shared" si="26"/>
        <v>0.47749738817303727</v>
      </c>
      <c r="R26" s="144">
        <f t="shared" si="27"/>
        <v>0.54195953557639731</v>
      </c>
      <c r="S26" s="144">
        <f t="shared" si="28"/>
        <v>7.4012095166820779E-3</v>
      </c>
      <c r="T26" s="144">
        <f t="shared" si="29"/>
        <v>1.8049401272940808E-3</v>
      </c>
      <c r="U26" s="144">
        <f t="shared" si="30"/>
        <v>0.12286485295080421</v>
      </c>
      <c r="V26" s="338">
        <f t="shared" si="31"/>
        <v>0.47749738817303727</v>
      </c>
      <c r="W26" s="338">
        <f t="shared" si="32"/>
        <v>0.54195953557639731</v>
      </c>
      <c r="X26" s="338">
        <f t="shared" si="33"/>
        <v>7.4012095166820779E-3</v>
      </c>
      <c r="Y26" s="338">
        <f t="shared" si="34"/>
        <v>1.8049401272940808E-3</v>
      </c>
      <c r="Z26" s="338">
        <f t="shared" si="35"/>
        <v>0.12286485295080421</v>
      </c>
      <c r="AA26" s="151">
        <v>2</v>
      </c>
      <c r="AB26" s="176">
        <v>8</v>
      </c>
      <c r="AC26" s="177">
        <v>1</v>
      </c>
      <c r="AD26" s="232">
        <f t="shared" si="36"/>
        <v>0</v>
      </c>
      <c r="AE26" s="232">
        <f t="shared" si="37"/>
        <v>0.47749738817303727</v>
      </c>
      <c r="AF26" s="232">
        <f t="shared" si="38"/>
        <v>0.47749738817303727</v>
      </c>
      <c r="AG26" s="232">
        <f>M26*VLOOKUP($AA26,'SKOR PPH'!$B$13:$D$21,3,FALSE)</f>
        <v>0</v>
      </c>
      <c r="AH26" s="232">
        <f>N26*VLOOKUP($AA26,'SKOR PPH'!$B$13:$D$21,3,FALSE)</f>
        <v>0</v>
      </c>
      <c r="AI26" s="232">
        <f>O26*VLOOKUP($AA26,'SKOR PPH'!$B$13:$D$21,3,FALSE)</f>
        <v>0</v>
      </c>
      <c r="AJ26" s="232">
        <f>P26*VLOOKUP($AA26,'SKOR PPH'!$B$13:$D$21,3,FALSE)</f>
        <v>0</v>
      </c>
      <c r="AK26" s="232">
        <f>$AD26*VLOOKUP($AA26,'SKOR PPH'!$B$13:$D$21,3,FALSE)</f>
        <v>0</v>
      </c>
      <c r="AL26" s="232">
        <f>R26*VLOOKUP($AA26,'SKOR PPH'!$B$13:$D$21,3,FALSE)</f>
        <v>0.52337032350612689</v>
      </c>
      <c r="AM26" s="232">
        <f>S26*VLOOKUP($AA26,'SKOR PPH'!$B$13:$D$21,3,FALSE)</f>
        <v>7.1473480302598827E-3</v>
      </c>
      <c r="AN26" s="232">
        <f>T26*VLOOKUP($AA26,'SKOR PPH'!$B$13:$D$21,3,FALSE)</f>
        <v>1.7430306809278937E-3</v>
      </c>
      <c r="AO26" s="232">
        <f>U26*VLOOKUP($AA26,'SKOR PPH'!$B$13:$D$21,3,FALSE)</f>
        <v>0.11865058849459162</v>
      </c>
      <c r="AP26" s="232">
        <f>$AE26*VLOOKUP($AA26,'SKOR PPH'!$B$13:$D$21,3,FALSE)</f>
        <v>0.46111922775870212</v>
      </c>
      <c r="AQ26" s="232">
        <f>W26*VLOOKUP($AA26,'SKOR PPH'!$B$13:$D$21,3,FALSE)</f>
        <v>0.52337032350612689</v>
      </c>
      <c r="AR26" s="232">
        <f>X26*VLOOKUP($AA26,'SKOR PPH'!$B$13:$D$21,3,FALSE)</f>
        <v>7.1473480302598827E-3</v>
      </c>
      <c r="AS26" s="232">
        <f>Y26*VLOOKUP($AA26,'SKOR PPH'!$B$13:$D$21,3,FALSE)</f>
        <v>1.7430306809278937E-3</v>
      </c>
      <c r="AT26" s="232">
        <f>Z26*VLOOKUP($AA26,'SKOR PPH'!$B$13:$D$21,3,FALSE)</f>
        <v>0.11865058849459162</v>
      </c>
      <c r="AU26" s="232">
        <f>$AF26*VLOOKUP($AA26,'SKOR PPH'!$B$13:$D$21,3,FALSE)</f>
        <v>0.46111922775870212</v>
      </c>
    </row>
    <row r="27" spans="2:47" ht="15" customHeight="1" x14ac:dyDescent="0.2">
      <c r="B27" s="147" t="s">
        <v>298</v>
      </c>
      <c r="C27" s="148">
        <v>1000</v>
      </c>
      <c r="D27" s="149">
        <v>520.79999999999995</v>
      </c>
      <c r="E27" s="243">
        <v>17.64</v>
      </c>
      <c r="F27" s="149">
        <v>1.68</v>
      </c>
      <c r="G27" s="261">
        <v>113.4</v>
      </c>
      <c r="H27" s="150" t="s">
        <v>200</v>
      </c>
      <c r="I27" s="311">
        <v>1.8976970622004548E-2</v>
      </c>
      <c r="J27" s="311">
        <v>0.1208477431090647</v>
      </c>
      <c r="K27" s="311">
        <v>0.13982471373106914</v>
      </c>
      <c r="L27" s="144">
        <f t="shared" si="21"/>
        <v>2.7109958031435069</v>
      </c>
      <c r="M27" s="144">
        <f t="shared" si="22"/>
        <v>1.4118866142771382</v>
      </c>
      <c r="N27" s="144">
        <f t="shared" si="23"/>
        <v>4.782196596745146E-2</v>
      </c>
      <c r="O27" s="144">
        <f t="shared" si="24"/>
        <v>4.5544729492810907E-3</v>
      </c>
      <c r="P27" s="144">
        <f t="shared" si="25"/>
        <v>0.30742692407647365</v>
      </c>
      <c r="Q27" s="144">
        <f t="shared" si="26"/>
        <v>17.263963301294957</v>
      </c>
      <c r="R27" s="144">
        <f t="shared" si="27"/>
        <v>8.9910720873144125</v>
      </c>
      <c r="S27" s="144">
        <f t="shared" si="28"/>
        <v>0.30453631263484304</v>
      </c>
      <c r="T27" s="144">
        <f t="shared" si="29"/>
        <v>2.9003458346175525E-2</v>
      </c>
      <c r="U27" s="144">
        <f t="shared" si="30"/>
        <v>1.9577334383668481</v>
      </c>
      <c r="V27" s="338">
        <f t="shared" si="31"/>
        <v>19.974959104438451</v>
      </c>
      <c r="W27" s="338">
        <f t="shared" si="32"/>
        <v>10.402958701591544</v>
      </c>
      <c r="X27" s="338">
        <f t="shared" si="33"/>
        <v>0.35235827860229424</v>
      </c>
      <c r="Y27" s="338">
        <f t="shared" si="34"/>
        <v>3.3557931295456596E-2</v>
      </c>
      <c r="Z27" s="338">
        <f t="shared" si="35"/>
        <v>2.2651603624433201</v>
      </c>
      <c r="AA27" s="151">
        <v>2</v>
      </c>
      <c r="AB27" s="176">
        <v>6</v>
      </c>
      <c r="AC27" s="177">
        <v>1</v>
      </c>
      <c r="AD27" s="232">
        <f t="shared" si="36"/>
        <v>2.7109958031435069</v>
      </c>
      <c r="AE27" s="232">
        <f t="shared" si="37"/>
        <v>17.263963301294957</v>
      </c>
      <c r="AF27" s="232">
        <f t="shared" si="38"/>
        <v>19.974959104438451</v>
      </c>
      <c r="AG27" s="232">
        <f>M27*VLOOKUP($AA27,'SKOR PPH'!$B$13:$D$21,3,FALSE)</f>
        <v>1.3634589034074325</v>
      </c>
      <c r="AH27" s="232">
        <f>N27*VLOOKUP($AA27,'SKOR PPH'!$B$13:$D$21,3,FALSE)</f>
        <v>4.6181672534767876E-2</v>
      </c>
      <c r="AI27" s="232">
        <f>O27*VLOOKUP($AA27,'SKOR PPH'!$B$13:$D$21,3,FALSE)</f>
        <v>4.3982545271207497E-3</v>
      </c>
      <c r="AJ27" s="232">
        <f>P27*VLOOKUP($AA27,'SKOR PPH'!$B$13:$D$21,3,FALSE)</f>
        <v>0.29688218058065058</v>
      </c>
      <c r="AK27" s="232">
        <f>$AD27*VLOOKUP($AA27,'SKOR PPH'!$B$13:$D$21,3,FALSE)</f>
        <v>2.6180086470956847</v>
      </c>
      <c r="AL27" s="232">
        <f>R27*VLOOKUP($AA27,'SKOR PPH'!$B$13:$D$21,3,FALSE)</f>
        <v>8.6826783147195279</v>
      </c>
      <c r="AM27" s="232">
        <f>S27*VLOOKUP($AA27,'SKOR PPH'!$B$13:$D$21,3,FALSE)</f>
        <v>0.29409071711146795</v>
      </c>
      <c r="AN27" s="232">
        <f>T27*VLOOKUP($AA27,'SKOR PPH'!$B$13:$D$21,3,FALSE)</f>
        <v>2.8008639724901703E-2</v>
      </c>
      <c r="AO27" s="232">
        <f>U27*VLOOKUP($AA27,'SKOR PPH'!$B$13:$D$21,3,FALSE)</f>
        <v>1.8905831814308651</v>
      </c>
      <c r="AP27" s="232">
        <f>$AE27*VLOOKUP($AA27,'SKOR PPH'!$B$13:$D$21,3,FALSE)</f>
        <v>16.671809360060539</v>
      </c>
      <c r="AQ27" s="232">
        <f>W27*VLOOKUP($AA27,'SKOR PPH'!$B$13:$D$21,3,FALSE)</f>
        <v>10.046137218126955</v>
      </c>
      <c r="AR27" s="232">
        <f>X27*VLOOKUP($AA27,'SKOR PPH'!$B$13:$D$21,3,FALSE)</f>
        <v>0.34027238964623557</v>
      </c>
      <c r="AS27" s="232">
        <f>Y27*VLOOKUP($AA27,'SKOR PPH'!$B$13:$D$21,3,FALSE)</f>
        <v>3.2406894252022436E-2</v>
      </c>
      <c r="AT27" s="232">
        <f>Z27*VLOOKUP($AA27,'SKOR PPH'!$B$13:$D$21,3,FALSE)</f>
        <v>2.1874653620115141</v>
      </c>
      <c r="AU27" s="232">
        <f>$AF27*VLOOKUP($AA27,'SKOR PPH'!$B$13:$D$21,3,FALSE)</f>
        <v>19.289818007156214</v>
      </c>
    </row>
    <row r="28" spans="2:47" ht="15" customHeight="1" x14ac:dyDescent="0.2">
      <c r="B28" s="147" t="s">
        <v>299</v>
      </c>
      <c r="C28" s="148">
        <v>1000</v>
      </c>
      <c r="D28" s="149">
        <v>3380</v>
      </c>
      <c r="E28" s="243">
        <v>15</v>
      </c>
      <c r="F28" s="149">
        <v>7</v>
      </c>
      <c r="G28" s="261">
        <v>813</v>
      </c>
      <c r="H28" s="150" t="s">
        <v>200</v>
      </c>
      <c r="I28" s="311">
        <v>0</v>
      </c>
      <c r="J28" s="311">
        <v>4.3186804939361406E-4</v>
      </c>
      <c r="K28" s="311">
        <v>4.3186804939361406E-4</v>
      </c>
      <c r="L28" s="144">
        <f t="shared" si="21"/>
        <v>0</v>
      </c>
      <c r="M28" s="144">
        <f t="shared" si="22"/>
        <v>0</v>
      </c>
      <c r="N28" s="144">
        <f t="shared" si="23"/>
        <v>0</v>
      </c>
      <c r="O28" s="144">
        <f t="shared" si="24"/>
        <v>0</v>
      </c>
      <c r="P28" s="144">
        <f t="shared" si="25"/>
        <v>0</v>
      </c>
      <c r="Q28" s="144">
        <f t="shared" si="26"/>
        <v>6.1695435627659154E-2</v>
      </c>
      <c r="R28" s="144">
        <f t="shared" si="27"/>
        <v>0.20853057242148793</v>
      </c>
      <c r="S28" s="144">
        <f t="shared" si="28"/>
        <v>9.2543153441488723E-4</v>
      </c>
      <c r="T28" s="144">
        <f t="shared" si="29"/>
        <v>4.3186804939361406E-4</v>
      </c>
      <c r="U28" s="144">
        <f t="shared" si="30"/>
        <v>5.0158389165286886E-2</v>
      </c>
      <c r="V28" s="338">
        <f t="shared" si="31"/>
        <v>6.1695435627659154E-2</v>
      </c>
      <c r="W28" s="338">
        <f t="shared" si="32"/>
        <v>0.20853057242148793</v>
      </c>
      <c r="X28" s="338">
        <f t="shared" si="33"/>
        <v>9.2543153441488723E-4</v>
      </c>
      <c r="Y28" s="338">
        <f t="shared" si="34"/>
        <v>4.3186804939361406E-4</v>
      </c>
      <c r="Z28" s="338">
        <f t="shared" si="35"/>
        <v>5.0158389165286886E-2</v>
      </c>
      <c r="AA28" s="151">
        <v>2</v>
      </c>
      <c r="AB28" s="176">
        <v>4</v>
      </c>
      <c r="AC28" s="177">
        <v>2.78</v>
      </c>
      <c r="AD28" s="232">
        <f t="shared" si="36"/>
        <v>0</v>
      </c>
      <c r="AE28" s="232">
        <f t="shared" si="37"/>
        <v>0.17151331104489242</v>
      </c>
      <c r="AF28" s="232">
        <f t="shared" si="38"/>
        <v>0.17151331104489242</v>
      </c>
      <c r="AG28" s="232">
        <f>M28*VLOOKUP($AA28,'SKOR PPH'!$B$13:$D$21,3,FALSE)</f>
        <v>0</v>
      </c>
      <c r="AH28" s="232">
        <f>N28*VLOOKUP($AA28,'SKOR PPH'!$B$13:$D$21,3,FALSE)</f>
        <v>0</v>
      </c>
      <c r="AI28" s="232">
        <f>O28*VLOOKUP($AA28,'SKOR PPH'!$B$13:$D$21,3,FALSE)</f>
        <v>0</v>
      </c>
      <c r="AJ28" s="232">
        <f>P28*VLOOKUP($AA28,'SKOR PPH'!$B$13:$D$21,3,FALSE)</f>
        <v>0</v>
      </c>
      <c r="AK28" s="232">
        <f>$AD28*VLOOKUP($AA28,'SKOR PPH'!$B$13:$D$21,3,FALSE)</f>
        <v>0</v>
      </c>
      <c r="AL28" s="232">
        <f>R28*VLOOKUP($AA28,'SKOR PPH'!$B$13:$D$21,3,FALSE)</f>
        <v>0.20137797378743089</v>
      </c>
      <c r="AM28" s="232">
        <f>S28*VLOOKUP($AA28,'SKOR PPH'!$B$13:$D$21,3,FALSE)</f>
        <v>8.9368923278445656E-4</v>
      </c>
      <c r="AN28" s="232">
        <f>T28*VLOOKUP($AA28,'SKOR PPH'!$B$13:$D$21,3,FALSE)</f>
        <v>4.170549752994131E-4</v>
      </c>
      <c r="AO28" s="232">
        <f>U28*VLOOKUP($AA28,'SKOR PPH'!$B$13:$D$21,3,FALSE)</f>
        <v>4.8437956416917546E-2</v>
      </c>
      <c r="AP28" s="232">
        <f>$AE28*VLOOKUP($AA28,'SKOR PPH'!$B$13:$D$21,3,FALSE)</f>
        <v>0.16563040447605262</v>
      </c>
      <c r="AQ28" s="232">
        <f>W28*VLOOKUP($AA28,'SKOR PPH'!$B$13:$D$21,3,FALSE)</f>
        <v>0.20137797378743089</v>
      </c>
      <c r="AR28" s="232">
        <f>X28*VLOOKUP($AA28,'SKOR PPH'!$B$13:$D$21,3,FALSE)</f>
        <v>8.9368923278445656E-4</v>
      </c>
      <c r="AS28" s="232">
        <f>Y28*VLOOKUP($AA28,'SKOR PPH'!$B$13:$D$21,3,FALSE)</f>
        <v>4.170549752994131E-4</v>
      </c>
      <c r="AT28" s="232">
        <f>Z28*VLOOKUP($AA28,'SKOR PPH'!$B$13:$D$21,3,FALSE)</f>
        <v>4.8437956416917546E-2</v>
      </c>
      <c r="AU28" s="232">
        <f>$AF28*VLOOKUP($AA28,'SKOR PPH'!$B$13:$D$21,3,FALSE)</f>
        <v>0.16563040447605262</v>
      </c>
    </row>
    <row r="29" spans="2:47" ht="15" customHeight="1" x14ac:dyDescent="0.2">
      <c r="B29" s="147" t="s">
        <v>300</v>
      </c>
      <c r="C29" s="148">
        <v>1000</v>
      </c>
      <c r="D29" s="149">
        <v>3630</v>
      </c>
      <c r="E29" s="243">
        <v>11</v>
      </c>
      <c r="F29" s="149">
        <v>5</v>
      </c>
      <c r="G29" s="261">
        <v>882</v>
      </c>
      <c r="H29" s="150" t="s">
        <v>200</v>
      </c>
      <c r="I29" s="311">
        <v>0</v>
      </c>
      <c r="J29" s="311">
        <v>0</v>
      </c>
      <c r="K29" s="311">
        <v>0</v>
      </c>
      <c r="L29" s="144">
        <f t="shared" si="21"/>
        <v>0</v>
      </c>
      <c r="M29" s="144">
        <f t="shared" si="22"/>
        <v>0</v>
      </c>
      <c r="N29" s="144">
        <f t="shared" si="23"/>
        <v>0</v>
      </c>
      <c r="O29" s="144">
        <f t="shared" si="24"/>
        <v>0</v>
      </c>
      <c r="P29" s="144">
        <f t="shared" si="25"/>
        <v>0</v>
      </c>
      <c r="Q29" s="144">
        <f t="shared" si="26"/>
        <v>0</v>
      </c>
      <c r="R29" s="144">
        <f t="shared" si="27"/>
        <v>0</v>
      </c>
      <c r="S29" s="144">
        <f t="shared" si="28"/>
        <v>0</v>
      </c>
      <c r="T29" s="144">
        <f t="shared" si="29"/>
        <v>0</v>
      </c>
      <c r="U29" s="144">
        <f t="shared" si="30"/>
        <v>0</v>
      </c>
      <c r="V29" s="338">
        <f t="shared" si="31"/>
        <v>0</v>
      </c>
      <c r="W29" s="338">
        <f t="shared" si="32"/>
        <v>0</v>
      </c>
      <c r="X29" s="338">
        <f t="shared" si="33"/>
        <v>0</v>
      </c>
      <c r="Y29" s="338">
        <f t="shared" si="34"/>
        <v>0</v>
      </c>
      <c r="Z29" s="338">
        <f t="shared" si="35"/>
        <v>0</v>
      </c>
      <c r="AA29" s="151">
        <v>2</v>
      </c>
      <c r="AB29" s="176">
        <v>4</v>
      </c>
      <c r="AC29" s="177">
        <v>4.3499999999999996</v>
      </c>
      <c r="AD29" s="232">
        <f t="shared" si="36"/>
        <v>0</v>
      </c>
      <c r="AE29" s="232">
        <f t="shared" si="37"/>
        <v>0</v>
      </c>
      <c r="AF29" s="232">
        <f t="shared" si="38"/>
        <v>0</v>
      </c>
      <c r="AG29" s="232">
        <f>M29*VLOOKUP($AA29,'SKOR PPH'!$B$13:$D$21,3,FALSE)</f>
        <v>0</v>
      </c>
      <c r="AH29" s="232">
        <f>N29*VLOOKUP($AA29,'SKOR PPH'!$B$13:$D$21,3,FALSE)</f>
        <v>0</v>
      </c>
      <c r="AI29" s="232">
        <f>O29*VLOOKUP($AA29,'SKOR PPH'!$B$13:$D$21,3,FALSE)</f>
        <v>0</v>
      </c>
      <c r="AJ29" s="232">
        <f>P29*VLOOKUP($AA29,'SKOR PPH'!$B$13:$D$21,3,FALSE)</f>
        <v>0</v>
      </c>
      <c r="AK29" s="232">
        <f>$AD29*VLOOKUP($AA29,'SKOR PPH'!$B$13:$D$21,3,FALSE)</f>
        <v>0</v>
      </c>
      <c r="AL29" s="232">
        <f>R29*VLOOKUP($AA29,'SKOR PPH'!$B$13:$D$21,3,FALSE)</f>
        <v>0</v>
      </c>
      <c r="AM29" s="232">
        <f>S29*VLOOKUP($AA29,'SKOR PPH'!$B$13:$D$21,3,FALSE)</f>
        <v>0</v>
      </c>
      <c r="AN29" s="232">
        <f>T29*VLOOKUP($AA29,'SKOR PPH'!$B$13:$D$21,3,FALSE)</f>
        <v>0</v>
      </c>
      <c r="AO29" s="232">
        <f>U29*VLOOKUP($AA29,'SKOR PPH'!$B$13:$D$21,3,FALSE)</f>
        <v>0</v>
      </c>
      <c r="AP29" s="232">
        <f>$AE29*VLOOKUP($AA29,'SKOR PPH'!$B$13:$D$21,3,FALSE)</f>
        <v>0</v>
      </c>
      <c r="AQ29" s="232">
        <f>W29*VLOOKUP($AA29,'SKOR PPH'!$B$13:$D$21,3,FALSE)</f>
        <v>0</v>
      </c>
      <c r="AR29" s="232">
        <f>X29*VLOOKUP($AA29,'SKOR PPH'!$B$13:$D$21,3,FALSE)</f>
        <v>0</v>
      </c>
      <c r="AS29" s="232">
        <f>Y29*VLOOKUP($AA29,'SKOR PPH'!$B$13:$D$21,3,FALSE)</f>
        <v>0</v>
      </c>
      <c r="AT29" s="232">
        <f>Z29*VLOOKUP($AA29,'SKOR PPH'!$B$13:$D$21,3,FALSE)</f>
        <v>0</v>
      </c>
      <c r="AU29" s="232">
        <f>$AF29*VLOOKUP($AA29,'SKOR PPH'!$B$13:$D$21,3,FALSE)</f>
        <v>0</v>
      </c>
    </row>
    <row r="30" spans="2:47" ht="15" customHeight="1" x14ac:dyDescent="0.2">
      <c r="B30" s="147" t="s">
        <v>301</v>
      </c>
      <c r="C30" s="148">
        <v>1000</v>
      </c>
      <c r="D30" s="149">
        <v>3620</v>
      </c>
      <c r="E30" s="243">
        <v>5</v>
      </c>
      <c r="F30" s="149">
        <v>3</v>
      </c>
      <c r="G30" s="261">
        <v>869</v>
      </c>
      <c r="H30" s="150" t="s">
        <v>200</v>
      </c>
      <c r="I30" s="311">
        <v>0</v>
      </c>
      <c r="J30" s="311">
        <v>0</v>
      </c>
      <c r="K30" s="311">
        <v>0</v>
      </c>
      <c r="L30" s="144">
        <f t="shared" si="21"/>
        <v>0</v>
      </c>
      <c r="M30" s="144">
        <f t="shared" si="22"/>
        <v>0</v>
      </c>
      <c r="N30" s="144">
        <f t="shared" si="23"/>
        <v>0</v>
      </c>
      <c r="O30" s="144">
        <f t="shared" si="24"/>
        <v>0</v>
      </c>
      <c r="P30" s="144">
        <f t="shared" si="25"/>
        <v>0</v>
      </c>
      <c r="Q30" s="144">
        <f t="shared" si="26"/>
        <v>0</v>
      </c>
      <c r="R30" s="144">
        <f t="shared" si="27"/>
        <v>0</v>
      </c>
      <c r="S30" s="144">
        <f t="shared" si="28"/>
        <v>0</v>
      </c>
      <c r="T30" s="144">
        <f t="shared" si="29"/>
        <v>0</v>
      </c>
      <c r="U30" s="144">
        <f t="shared" si="30"/>
        <v>0</v>
      </c>
      <c r="V30" s="338">
        <f t="shared" si="31"/>
        <v>0</v>
      </c>
      <c r="W30" s="338">
        <f t="shared" si="32"/>
        <v>0</v>
      </c>
      <c r="X30" s="338">
        <f t="shared" si="33"/>
        <v>0</v>
      </c>
      <c r="Y30" s="338">
        <f t="shared" si="34"/>
        <v>0</v>
      </c>
      <c r="Z30" s="338">
        <f t="shared" si="35"/>
        <v>0</v>
      </c>
      <c r="AA30" s="151">
        <v>2</v>
      </c>
      <c r="AB30" s="176">
        <v>4</v>
      </c>
      <c r="AC30" s="177">
        <v>3.57</v>
      </c>
      <c r="AD30" s="232">
        <f t="shared" si="36"/>
        <v>0</v>
      </c>
      <c r="AE30" s="232">
        <f t="shared" si="37"/>
        <v>0</v>
      </c>
      <c r="AF30" s="232">
        <f t="shared" si="38"/>
        <v>0</v>
      </c>
      <c r="AG30" s="232">
        <f>M30*VLOOKUP($AA30,'SKOR PPH'!$B$13:$D$21,3,FALSE)</f>
        <v>0</v>
      </c>
      <c r="AH30" s="232">
        <f>N30*VLOOKUP($AA30,'SKOR PPH'!$B$13:$D$21,3,FALSE)</f>
        <v>0</v>
      </c>
      <c r="AI30" s="232">
        <f>O30*VLOOKUP($AA30,'SKOR PPH'!$B$13:$D$21,3,FALSE)</f>
        <v>0</v>
      </c>
      <c r="AJ30" s="232">
        <f>P30*VLOOKUP($AA30,'SKOR PPH'!$B$13:$D$21,3,FALSE)</f>
        <v>0</v>
      </c>
      <c r="AK30" s="232">
        <f>$AD30*VLOOKUP($AA30,'SKOR PPH'!$B$13:$D$21,3,FALSE)</f>
        <v>0</v>
      </c>
      <c r="AL30" s="232">
        <f>R30*VLOOKUP($AA30,'SKOR PPH'!$B$13:$D$21,3,FALSE)</f>
        <v>0</v>
      </c>
      <c r="AM30" s="232">
        <f>S30*VLOOKUP($AA30,'SKOR PPH'!$B$13:$D$21,3,FALSE)</f>
        <v>0</v>
      </c>
      <c r="AN30" s="232">
        <f>T30*VLOOKUP($AA30,'SKOR PPH'!$B$13:$D$21,3,FALSE)</f>
        <v>0</v>
      </c>
      <c r="AO30" s="232">
        <f>U30*VLOOKUP($AA30,'SKOR PPH'!$B$13:$D$21,3,FALSE)</f>
        <v>0</v>
      </c>
      <c r="AP30" s="232">
        <f>$AE30*VLOOKUP($AA30,'SKOR PPH'!$B$13:$D$21,3,FALSE)</f>
        <v>0</v>
      </c>
      <c r="AQ30" s="232">
        <f>W30*VLOOKUP($AA30,'SKOR PPH'!$B$13:$D$21,3,FALSE)</f>
        <v>0</v>
      </c>
      <c r="AR30" s="232">
        <f>X30*VLOOKUP($AA30,'SKOR PPH'!$B$13:$D$21,3,FALSE)</f>
        <v>0</v>
      </c>
      <c r="AS30" s="232">
        <f>Y30*VLOOKUP($AA30,'SKOR PPH'!$B$13:$D$21,3,FALSE)</f>
        <v>0</v>
      </c>
      <c r="AT30" s="232">
        <f>Z30*VLOOKUP($AA30,'SKOR PPH'!$B$13:$D$21,3,FALSE)</f>
        <v>0</v>
      </c>
      <c r="AU30" s="232">
        <f>$AF30*VLOOKUP($AA30,'SKOR PPH'!$B$13:$D$21,3,FALSE)</f>
        <v>0</v>
      </c>
    </row>
    <row r="31" spans="2:47" ht="15" customHeight="1" x14ac:dyDescent="0.2">
      <c r="B31" s="153" t="s">
        <v>302</v>
      </c>
      <c r="C31" s="154">
        <v>1000</v>
      </c>
      <c r="D31" s="155">
        <v>1794.5</v>
      </c>
      <c r="E31" s="244">
        <v>13</v>
      </c>
      <c r="F31" s="155">
        <v>1.75</v>
      </c>
      <c r="G31" s="262">
        <v>432.27</v>
      </c>
      <c r="H31" s="156" t="s">
        <v>200</v>
      </c>
      <c r="I31" s="311">
        <v>0</v>
      </c>
      <c r="J31" s="311">
        <v>0</v>
      </c>
      <c r="K31" s="311">
        <v>0</v>
      </c>
      <c r="L31" s="144">
        <f t="shared" si="21"/>
        <v>0</v>
      </c>
      <c r="M31" s="144">
        <f t="shared" si="22"/>
        <v>0</v>
      </c>
      <c r="N31" s="144">
        <f t="shared" si="23"/>
        <v>0</v>
      </c>
      <c r="O31" s="144">
        <f t="shared" si="24"/>
        <v>0</v>
      </c>
      <c r="P31" s="144">
        <f t="shared" si="25"/>
        <v>0</v>
      </c>
      <c r="Q31" s="144">
        <f t="shared" si="26"/>
        <v>0</v>
      </c>
      <c r="R31" s="144">
        <f t="shared" si="27"/>
        <v>0</v>
      </c>
      <c r="S31" s="144">
        <f t="shared" si="28"/>
        <v>0</v>
      </c>
      <c r="T31" s="144">
        <f t="shared" si="29"/>
        <v>0</v>
      </c>
      <c r="U31" s="144">
        <f t="shared" si="30"/>
        <v>0</v>
      </c>
      <c r="V31" s="338">
        <f t="shared" si="31"/>
        <v>0</v>
      </c>
      <c r="W31" s="338">
        <f t="shared" si="32"/>
        <v>0</v>
      </c>
      <c r="X31" s="338">
        <f t="shared" si="33"/>
        <v>0</v>
      </c>
      <c r="Y31" s="338">
        <f t="shared" si="34"/>
        <v>0</v>
      </c>
      <c r="Z31" s="338">
        <f t="shared" si="35"/>
        <v>0</v>
      </c>
      <c r="AA31" s="157">
        <v>2</v>
      </c>
      <c r="AB31" s="178">
        <v>5</v>
      </c>
      <c r="AC31" s="179">
        <v>1</v>
      </c>
      <c r="AD31" s="232">
        <f t="shared" si="36"/>
        <v>0</v>
      </c>
      <c r="AE31" s="232">
        <f t="shared" si="37"/>
        <v>0</v>
      </c>
      <c r="AF31" s="232">
        <f t="shared" si="38"/>
        <v>0</v>
      </c>
      <c r="AG31" s="232">
        <f>M31*VLOOKUP($AA31,'SKOR PPH'!$B$13:$D$21,3,FALSE)</f>
        <v>0</v>
      </c>
      <c r="AH31" s="232">
        <f>N31*VLOOKUP($AA31,'SKOR PPH'!$B$13:$D$21,3,FALSE)</f>
        <v>0</v>
      </c>
      <c r="AI31" s="232">
        <f>O31*VLOOKUP($AA31,'SKOR PPH'!$B$13:$D$21,3,FALSE)</f>
        <v>0</v>
      </c>
      <c r="AJ31" s="232">
        <f>P31*VLOOKUP($AA31,'SKOR PPH'!$B$13:$D$21,3,FALSE)</f>
        <v>0</v>
      </c>
      <c r="AK31" s="232">
        <f>$AD31*VLOOKUP($AA31,'SKOR PPH'!$B$13:$D$21,3,FALSE)</f>
        <v>0</v>
      </c>
      <c r="AL31" s="232">
        <f>R31*VLOOKUP($AA31,'SKOR PPH'!$B$13:$D$21,3,FALSE)</f>
        <v>0</v>
      </c>
      <c r="AM31" s="232">
        <f>S31*VLOOKUP($AA31,'SKOR PPH'!$B$13:$D$21,3,FALSE)</f>
        <v>0</v>
      </c>
      <c r="AN31" s="232">
        <f>T31*VLOOKUP($AA31,'SKOR PPH'!$B$13:$D$21,3,FALSE)</f>
        <v>0</v>
      </c>
      <c r="AO31" s="232">
        <f>U31*VLOOKUP($AA31,'SKOR PPH'!$B$13:$D$21,3,FALSE)</f>
        <v>0</v>
      </c>
      <c r="AP31" s="232">
        <f>$AE31*VLOOKUP($AA31,'SKOR PPH'!$B$13:$D$21,3,FALSE)</f>
        <v>0</v>
      </c>
      <c r="AQ31" s="232">
        <f>W31*VLOOKUP($AA31,'SKOR PPH'!$B$13:$D$21,3,FALSE)</f>
        <v>0</v>
      </c>
      <c r="AR31" s="232">
        <f>X31*VLOOKUP($AA31,'SKOR PPH'!$B$13:$D$21,3,FALSE)</f>
        <v>0</v>
      </c>
      <c r="AS31" s="232">
        <f>Y31*VLOOKUP($AA31,'SKOR PPH'!$B$13:$D$21,3,FALSE)</f>
        <v>0</v>
      </c>
      <c r="AT31" s="232">
        <f>Z31*VLOOKUP($AA31,'SKOR PPH'!$B$13:$D$21,3,FALSE)</f>
        <v>0</v>
      </c>
      <c r="AU31" s="232">
        <f>$AF31*VLOOKUP($AA31,'SKOR PPH'!$B$13:$D$21,3,FALSE)</f>
        <v>0</v>
      </c>
    </row>
    <row r="32" spans="2:47" ht="15" customHeight="1" x14ac:dyDescent="0.2">
      <c r="B32" s="159"/>
      <c r="C32" s="180"/>
      <c r="D32" s="181"/>
      <c r="E32" s="247"/>
      <c r="F32" s="181"/>
      <c r="G32" s="181"/>
      <c r="H32" s="265"/>
      <c r="I32" s="312"/>
      <c r="J32" s="312"/>
      <c r="K32" s="312"/>
      <c r="L32" s="324"/>
      <c r="M32" s="182"/>
      <c r="N32" s="182"/>
      <c r="O32" s="325"/>
      <c r="P32" s="183"/>
      <c r="Q32" s="324"/>
      <c r="R32" s="182"/>
      <c r="S32" s="182"/>
      <c r="T32" s="325"/>
      <c r="U32" s="183"/>
      <c r="V32" s="324"/>
      <c r="W32" s="182"/>
      <c r="X32" s="182"/>
      <c r="Y32" s="325"/>
      <c r="Z32" s="183"/>
      <c r="AA32" s="184"/>
      <c r="AB32" s="184"/>
      <c r="AC32" s="185"/>
      <c r="AD32" s="235"/>
      <c r="AE32" s="235"/>
      <c r="AF32" s="235"/>
      <c r="AG32" s="235"/>
      <c r="AH32" s="235"/>
      <c r="AI32" s="235"/>
      <c r="AJ32" s="235"/>
      <c r="AK32" s="235"/>
      <c r="AL32" s="235"/>
      <c r="AM32" s="235"/>
      <c r="AN32" s="235"/>
      <c r="AO32" s="235"/>
      <c r="AP32" s="235"/>
      <c r="AQ32" s="235"/>
      <c r="AR32" s="235"/>
      <c r="AS32" s="235"/>
      <c r="AT32" s="235"/>
      <c r="AU32" s="235"/>
    </row>
    <row r="33" spans="2:47" ht="15" customHeight="1" x14ac:dyDescent="0.2">
      <c r="B33" s="186" t="s">
        <v>13</v>
      </c>
      <c r="C33" s="187"/>
      <c r="D33" s="188"/>
      <c r="E33" s="248"/>
      <c r="F33" s="188"/>
      <c r="G33" s="188"/>
      <c r="H33" s="267"/>
      <c r="I33" s="314"/>
      <c r="J33" s="314"/>
      <c r="K33" s="314"/>
      <c r="L33" s="326"/>
      <c r="M33" s="127"/>
      <c r="N33" s="127"/>
      <c r="O33" s="320"/>
      <c r="P33" s="189"/>
      <c r="Q33" s="326"/>
      <c r="R33" s="127"/>
      <c r="S33" s="127"/>
      <c r="T33" s="320"/>
      <c r="U33" s="189"/>
      <c r="V33" s="326"/>
      <c r="W33" s="127"/>
      <c r="X33" s="127"/>
      <c r="Y33" s="320"/>
      <c r="Z33" s="189"/>
      <c r="AA33" s="190"/>
      <c r="AB33" s="190"/>
      <c r="AC33" s="191"/>
      <c r="AD33" s="236"/>
      <c r="AE33" s="236"/>
      <c r="AF33" s="236"/>
      <c r="AG33" s="236"/>
      <c r="AH33" s="236"/>
      <c r="AI33" s="236"/>
      <c r="AJ33" s="236"/>
      <c r="AK33" s="236"/>
      <c r="AL33" s="236"/>
      <c r="AM33" s="236"/>
      <c r="AN33" s="236"/>
      <c r="AO33" s="236"/>
      <c r="AP33" s="236"/>
      <c r="AQ33" s="236"/>
      <c r="AR33" s="236"/>
      <c r="AS33" s="236"/>
      <c r="AT33" s="236"/>
      <c r="AU33" s="236"/>
    </row>
    <row r="34" spans="2:47" ht="15" customHeight="1" x14ac:dyDescent="0.2">
      <c r="B34" s="192" t="s">
        <v>14</v>
      </c>
      <c r="C34" s="168"/>
      <c r="D34" s="169"/>
      <c r="E34" s="246"/>
      <c r="F34" s="169"/>
      <c r="G34" s="169"/>
      <c r="H34" s="266"/>
      <c r="I34" s="313"/>
      <c r="J34" s="313"/>
      <c r="K34" s="313"/>
      <c r="L34" s="322"/>
      <c r="M34" s="170"/>
      <c r="N34" s="170"/>
      <c r="O34" s="323"/>
      <c r="P34" s="171"/>
      <c r="Q34" s="322"/>
      <c r="R34" s="170"/>
      <c r="S34" s="170"/>
      <c r="T34" s="323"/>
      <c r="U34" s="171"/>
      <c r="V34" s="322"/>
      <c r="W34" s="170"/>
      <c r="X34" s="170"/>
      <c r="Y34" s="323"/>
      <c r="Z34" s="171"/>
      <c r="AA34" s="172"/>
      <c r="AB34" s="172"/>
      <c r="AC34" s="173"/>
      <c r="AD34" s="234"/>
      <c r="AE34" s="234"/>
      <c r="AF34" s="234"/>
      <c r="AG34" s="234"/>
      <c r="AH34" s="234"/>
      <c r="AI34" s="234"/>
      <c r="AJ34" s="234"/>
      <c r="AK34" s="234"/>
      <c r="AL34" s="234"/>
      <c r="AM34" s="234"/>
      <c r="AN34" s="234"/>
      <c r="AO34" s="234"/>
      <c r="AP34" s="234"/>
      <c r="AQ34" s="234"/>
      <c r="AR34" s="234"/>
      <c r="AS34" s="234"/>
      <c r="AT34" s="234"/>
      <c r="AU34" s="234"/>
    </row>
    <row r="35" spans="2:47" ht="15" customHeight="1" x14ac:dyDescent="0.2">
      <c r="B35" s="140" t="s">
        <v>15</v>
      </c>
      <c r="C35" s="141">
        <v>1000</v>
      </c>
      <c r="D35" s="142">
        <v>872</v>
      </c>
      <c r="E35" s="242">
        <v>136</v>
      </c>
      <c r="F35" s="142">
        <v>32</v>
      </c>
      <c r="G35" s="260">
        <v>0</v>
      </c>
      <c r="H35" s="143" t="s">
        <v>200</v>
      </c>
      <c r="I35" s="311">
        <v>0</v>
      </c>
      <c r="J35" s="311">
        <v>0</v>
      </c>
      <c r="K35" s="311">
        <v>0</v>
      </c>
      <c r="L35" s="144">
        <f t="shared" ref="L35:L48" si="39">$I35*C35/7</f>
        <v>0</v>
      </c>
      <c r="M35" s="144">
        <f t="shared" ref="M35:M48" si="40">$I35*D35/7</f>
        <v>0</v>
      </c>
      <c r="N35" s="144">
        <f t="shared" ref="N35:N48" si="41">$I35*E35/7</f>
        <v>0</v>
      </c>
      <c r="O35" s="144">
        <f t="shared" ref="O35:O48" si="42">$I35*F35/7</f>
        <v>0</v>
      </c>
      <c r="P35" s="144">
        <f t="shared" ref="P35:P48" si="43">$I35*G35/7</f>
        <v>0</v>
      </c>
      <c r="Q35" s="144">
        <f t="shared" ref="Q35:Q48" si="44">$J35*C35/7</f>
        <v>0</v>
      </c>
      <c r="R35" s="144">
        <f t="shared" ref="R35:R48" si="45">$J35*D35/7</f>
        <v>0</v>
      </c>
      <c r="S35" s="144">
        <f t="shared" ref="S35:S48" si="46">$J35*E35/7</f>
        <v>0</v>
      </c>
      <c r="T35" s="144">
        <f t="shared" ref="T35:T48" si="47">$J35*F35/7</f>
        <v>0</v>
      </c>
      <c r="U35" s="144">
        <f t="shared" ref="U35:U48" si="48">$J35*G35/7</f>
        <v>0</v>
      </c>
      <c r="V35" s="338">
        <f t="shared" ref="V35:V48" si="49">$K35*C35/7</f>
        <v>0</v>
      </c>
      <c r="W35" s="338">
        <f t="shared" ref="W35:W48" si="50">$K35*D35/7</f>
        <v>0</v>
      </c>
      <c r="X35" s="338">
        <f t="shared" ref="X35:X48" si="51">$K35*E35/7</f>
        <v>0</v>
      </c>
      <c r="Y35" s="338">
        <f t="shared" ref="Y35:Y48" si="52">$K35*F35/7</f>
        <v>0</v>
      </c>
      <c r="Z35" s="338">
        <f t="shared" ref="Z35:Z48" si="53">$K35*G35/7</f>
        <v>0</v>
      </c>
      <c r="AA35" s="151">
        <v>3</v>
      </c>
      <c r="AB35" s="174">
        <v>13</v>
      </c>
      <c r="AC35" s="175">
        <v>1</v>
      </c>
      <c r="AD35" s="232">
        <f>$L35*$AC35</f>
        <v>0</v>
      </c>
      <c r="AE35" s="232">
        <f t="shared" ref="AE35:AE69" si="54">$Q35*$AC35</f>
        <v>0</v>
      </c>
      <c r="AF35" s="232">
        <f t="shared" ref="AF35:AF69" si="55">$V35*$AC35</f>
        <v>0</v>
      </c>
      <c r="AG35" s="232">
        <f>M35*VLOOKUP($AA35,'SKOR PPH'!$B$13:$D$21,3,FALSE)</f>
        <v>0</v>
      </c>
      <c r="AH35" s="232">
        <f>N35*VLOOKUP($AA35,'SKOR PPH'!$B$13:$D$21,3,FALSE)</f>
        <v>0</v>
      </c>
      <c r="AI35" s="232">
        <f>O35*VLOOKUP($AA35,'SKOR PPH'!$B$13:$D$21,3,FALSE)</f>
        <v>0</v>
      </c>
      <c r="AJ35" s="232">
        <f>P35*VLOOKUP($AA35,'SKOR PPH'!$B$13:$D$21,3,FALSE)</f>
        <v>0</v>
      </c>
      <c r="AK35" s="232">
        <f>$AD35*VLOOKUP($AA35,'SKOR PPH'!$B$13:$D$21,3,FALSE)</f>
        <v>0</v>
      </c>
      <c r="AL35" s="232">
        <f>R35*VLOOKUP($AA35,'SKOR PPH'!$B$13:$D$21,3,FALSE)</f>
        <v>0</v>
      </c>
      <c r="AM35" s="232">
        <f>S35*VLOOKUP($AA35,'SKOR PPH'!$B$13:$D$21,3,FALSE)</f>
        <v>0</v>
      </c>
      <c r="AN35" s="232">
        <f>T35*VLOOKUP($AA35,'SKOR PPH'!$B$13:$D$21,3,FALSE)</f>
        <v>0</v>
      </c>
      <c r="AO35" s="232">
        <f>U35*VLOOKUP($AA35,'SKOR PPH'!$B$13:$D$21,3,FALSE)</f>
        <v>0</v>
      </c>
      <c r="AP35" s="232">
        <f>$AE35*VLOOKUP($AA35,'SKOR PPH'!$B$13:$D$21,3,FALSE)</f>
        <v>0</v>
      </c>
      <c r="AQ35" s="232">
        <f>W35*VLOOKUP($AA35,'SKOR PPH'!$B$13:$D$21,3,FALSE)</f>
        <v>0</v>
      </c>
      <c r="AR35" s="232">
        <f>X35*VLOOKUP($AA35,'SKOR PPH'!$B$13:$D$21,3,FALSE)</f>
        <v>0</v>
      </c>
      <c r="AS35" s="232">
        <f>Y35*VLOOKUP($AA35,'SKOR PPH'!$B$13:$D$21,3,FALSE)</f>
        <v>0</v>
      </c>
      <c r="AT35" s="232">
        <f>Z35*VLOOKUP($AA35,'SKOR PPH'!$B$13:$D$21,3,FALSE)</f>
        <v>0</v>
      </c>
      <c r="AU35" s="232">
        <f>$AF35*VLOOKUP($AA35,'SKOR PPH'!$B$13:$D$21,3,FALSE)</f>
        <v>0</v>
      </c>
    </row>
    <row r="36" spans="2:47" ht="15" customHeight="1" x14ac:dyDescent="0.2">
      <c r="B36" s="147" t="s">
        <v>16</v>
      </c>
      <c r="C36" s="148">
        <v>1000</v>
      </c>
      <c r="D36" s="149">
        <v>904</v>
      </c>
      <c r="E36" s="243">
        <v>136</v>
      </c>
      <c r="F36" s="149">
        <v>36</v>
      </c>
      <c r="G36" s="261">
        <v>0</v>
      </c>
      <c r="H36" s="150" t="s">
        <v>200</v>
      </c>
      <c r="I36" s="311">
        <v>1.6787655526934356E-2</v>
      </c>
      <c r="J36" s="311">
        <v>0.13171425961010849</v>
      </c>
      <c r="K36" s="311">
        <v>0.14850191513704283</v>
      </c>
      <c r="L36" s="144">
        <f t="shared" si="39"/>
        <v>2.3982365038477651</v>
      </c>
      <c r="M36" s="144">
        <f t="shared" si="40"/>
        <v>2.1680057994783799</v>
      </c>
      <c r="N36" s="144">
        <f t="shared" si="41"/>
        <v>0.32616016452329605</v>
      </c>
      <c r="O36" s="144">
        <f t="shared" si="42"/>
        <v>8.6336514138519532E-2</v>
      </c>
      <c r="P36" s="144">
        <f t="shared" si="43"/>
        <v>0</v>
      </c>
      <c r="Q36" s="144">
        <f t="shared" si="44"/>
        <v>18.81632280144407</v>
      </c>
      <c r="R36" s="144">
        <f t="shared" si="45"/>
        <v>17.009955812505439</v>
      </c>
      <c r="S36" s="144">
        <f t="shared" si="46"/>
        <v>2.5590199009963936</v>
      </c>
      <c r="T36" s="144">
        <f t="shared" si="47"/>
        <v>0.67738762085198645</v>
      </c>
      <c r="U36" s="144">
        <f t="shared" si="48"/>
        <v>0</v>
      </c>
      <c r="V36" s="338">
        <f t="shared" si="49"/>
        <v>21.214559305291832</v>
      </c>
      <c r="W36" s="338">
        <f t="shared" si="50"/>
        <v>19.177961611983818</v>
      </c>
      <c r="X36" s="338">
        <f t="shared" si="51"/>
        <v>2.8851800655196898</v>
      </c>
      <c r="Y36" s="338">
        <f t="shared" si="52"/>
        <v>0.76372413499050595</v>
      </c>
      <c r="Z36" s="338">
        <f t="shared" si="53"/>
        <v>0</v>
      </c>
      <c r="AA36" s="151">
        <v>3</v>
      </c>
      <c r="AB36" s="176">
        <v>13</v>
      </c>
      <c r="AC36" s="177">
        <v>1</v>
      </c>
      <c r="AD36" s="232">
        <f t="shared" ref="AD36:AD48" si="56">$L36*$AC36</f>
        <v>2.3982365038477651</v>
      </c>
      <c r="AE36" s="232">
        <f t="shared" si="54"/>
        <v>18.81632280144407</v>
      </c>
      <c r="AF36" s="232">
        <f t="shared" si="55"/>
        <v>21.214559305291832</v>
      </c>
      <c r="AG36" s="232">
        <f>M36*VLOOKUP($AA36,'SKOR PPH'!$B$13:$D$21,3,FALSE)</f>
        <v>2.3488174831548765</v>
      </c>
      <c r="AH36" s="232">
        <f>N36*VLOOKUP($AA36,'SKOR PPH'!$B$13:$D$21,3,FALSE)</f>
        <v>0.35336192224453888</v>
      </c>
      <c r="AI36" s="232">
        <f>O36*VLOOKUP($AA36,'SKOR PPH'!$B$13:$D$21,3,FALSE)</f>
        <v>9.3536979417672056E-2</v>
      </c>
      <c r="AJ36" s="232">
        <f>P36*VLOOKUP($AA36,'SKOR PPH'!$B$13:$D$21,3,FALSE)</f>
        <v>0</v>
      </c>
      <c r="AK36" s="232">
        <f>$AD36*VLOOKUP($AA36,'SKOR PPH'!$B$13:$D$21,3,FALSE)</f>
        <v>2.5982494282686686</v>
      </c>
      <c r="AL36" s="232">
        <f>R36*VLOOKUP($AA36,'SKOR PPH'!$B$13:$D$21,3,FALSE)</f>
        <v>18.428586127268392</v>
      </c>
      <c r="AM36" s="232">
        <f>S36*VLOOKUP($AA36,'SKOR PPH'!$B$13:$D$21,3,FALSE)</f>
        <v>2.7724421607394927</v>
      </c>
      <c r="AN36" s="232">
        <f>T36*VLOOKUP($AA36,'SKOR PPH'!$B$13:$D$21,3,FALSE)</f>
        <v>0.73388174843104204</v>
      </c>
      <c r="AO36" s="232">
        <f>U36*VLOOKUP($AA36,'SKOR PPH'!$B$13:$D$21,3,FALSE)</f>
        <v>0</v>
      </c>
      <c r="AP36" s="232">
        <f>$AE36*VLOOKUP($AA36,'SKOR PPH'!$B$13:$D$21,3,FALSE)</f>
        <v>20.385604123084505</v>
      </c>
      <c r="AQ36" s="232">
        <f>W36*VLOOKUP($AA36,'SKOR PPH'!$B$13:$D$21,3,FALSE)</f>
        <v>20.777403610423267</v>
      </c>
      <c r="AR36" s="232">
        <f>X36*VLOOKUP($AA36,'SKOR PPH'!$B$13:$D$21,3,FALSE)</f>
        <v>3.1258040829840317</v>
      </c>
      <c r="AS36" s="232">
        <f>Y36*VLOOKUP($AA36,'SKOR PPH'!$B$13:$D$21,3,FALSE)</f>
        <v>0.82741872784871406</v>
      </c>
      <c r="AT36" s="232">
        <f>Z36*VLOOKUP($AA36,'SKOR PPH'!$B$13:$D$21,3,FALSE)</f>
        <v>0</v>
      </c>
      <c r="AU36" s="232">
        <f>$AF36*VLOOKUP($AA36,'SKOR PPH'!$B$13:$D$21,3,FALSE)</f>
        <v>22.983853551353171</v>
      </c>
    </row>
    <row r="37" spans="2:47" ht="15" customHeight="1" x14ac:dyDescent="0.2">
      <c r="B37" s="147" t="s">
        <v>17</v>
      </c>
      <c r="C37" s="148">
        <v>1000</v>
      </c>
      <c r="D37" s="149">
        <v>904</v>
      </c>
      <c r="E37" s="243">
        <v>136</v>
      </c>
      <c r="F37" s="149">
        <v>36</v>
      </c>
      <c r="G37" s="261">
        <v>0</v>
      </c>
      <c r="H37" s="150" t="s">
        <v>200</v>
      </c>
      <c r="I37" s="311">
        <v>0</v>
      </c>
      <c r="J37" s="311">
        <v>0</v>
      </c>
      <c r="K37" s="311">
        <v>0</v>
      </c>
      <c r="L37" s="144">
        <f t="shared" si="39"/>
        <v>0</v>
      </c>
      <c r="M37" s="144">
        <f t="shared" si="40"/>
        <v>0</v>
      </c>
      <c r="N37" s="144">
        <f t="shared" si="41"/>
        <v>0</v>
      </c>
      <c r="O37" s="144">
        <f t="shared" si="42"/>
        <v>0</v>
      </c>
      <c r="P37" s="144">
        <f t="shared" si="43"/>
        <v>0</v>
      </c>
      <c r="Q37" s="144">
        <f t="shared" si="44"/>
        <v>0</v>
      </c>
      <c r="R37" s="144">
        <f t="shared" si="45"/>
        <v>0</v>
      </c>
      <c r="S37" s="144">
        <f t="shared" si="46"/>
        <v>0</v>
      </c>
      <c r="T37" s="144">
        <f t="shared" si="47"/>
        <v>0</v>
      </c>
      <c r="U37" s="144">
        <f t="shared" si="48"/>
        <v>0</v>
      </c>
      <c r="V37" s="338">
        <f t="shared" si="49"/>
        <v>0</v>
      </c>
      <c r="W37" s="338">
        <f t="shared" si="50"/>
        <v>0</v>
      </c>
      <c r="X37" s="338">
        <f t="shared" si="51"/>
        <v>0</v>
      </c>
      <c r="Y37" s="338">
        <f t="shared" si="52"/>
        <v>0</v>
      </c>
      <c r="Z37" s="338">
        <f t="shared" si="53"/>
        <v>0</v>
      </c>
      <c r="AA37" s="151">
        <v>3</v>
      </c>
      <c r="AB37" s="176">
        <v>13</v>
      </c>
      <c r="AC37" s="177">
        <v>1</v>
      </c>
      <c r="AD37" s="232">
        <f t="shared" si="56"/>
        <v>0</v>
      </c>
      <c r="AE37" s="232">
        <f t="shared" si="54"/>
        <v>0</v>
      </c>
      <c r="AF37" s="232">
        <f t="shared" si="55"/>
        <v>0</v>
      </c>
      <c r="AG37" s="232">
        <f>M37*VLOOKUP($AA37,'SKOR PPH'!$B$13:$D$21,3,FALSE)</f>
        <v>0</v>
      </c>
      <c r="AH37" s="232">
        <f>N37*VLOOKUP($AA37,'SKOR PPH'!$B$13:$D$21,3,FALSE)</f>
        <v>0</v>
      </c>
      <c r="AI37" s="232">
        <f>O37*VLOOKUP($AA37,'SKOR PPH'!$B$13:$D$21,3,FALSE)</f>
        <v>0</v>
      </c>
      <c r="AJ37" s="232">
        <f>P37*VLOOKUP($AA37,'SKOR PPH'!$B$13:$D$21,3,FALSE)</f>
        <v>0</v>
      </c>
      <c r="AK37" s="232">
        <f>$AD37*VLOOKUP($AA37,'SKOR PPH'!$B$13:$D$21,3,FALSE)</f>
        <v>0</v>
      </c>
      <c r="AL37" s="232">
        <f>R37*VLOOKUP($AA37,'SKOR PPH'!$B$13:$D$21,3,FALSE)</f>
        <v>0</v>
      </c>
      <c r="AM37" s="232">
        <f>S37*VLOOKUP($AA37,'SKOR PPH'!$B$13:$D$21,3,FALSE)</f>
        <v>0</v>
      </c>
      <c r="AN37" s="232">
        <f>T37*VLOOKUP($AA37,'SKOR PPH'!$B$13:$D$21,3,FALSE)</f>
        <v>0</v>
      </c>
      <c r="AO37" s="232">
        <f>U37*VLOOKUP($AA37,'SKOR PPH'!$B$13:$D$21,3,FALSE)</f>
        <v>0</v>
      </c>
      <c r="AP37" s="232">
        <f>$AE37*VLOOKUP($AA37,'SKOR PPH'!$B$13:$D$21,3,FALSE)</f>
        <v>0</v>
      </c>
      <c r="AQ37" s="232">
        <f>W37*VLOOKUP($AA37,'SKOR PPH'!$B$13:$D$21,3,FALSE)</f>
        <v>0</v>
      </c>
      <c r="AR37" s="232">
        <f>X37*VLOOKUP($AA37,'SKOR PPH'!$B$13:$D$21,3,FALSE)</f>
        <v>0</v>
      </c>
      <c r="AS37" s="232">
        <f>Y37*VLOOKUP($AA37,'SKOR PPH'!$B$13:$D$21,3,FALSE)</f>
        <v>0</v>
      </c>
      <c r="AT37" s="232">
        <f>Z37*VLOOKUP($AA37,'SKOR PPH'!$B$13:$D$21,3,FALSE)</f>
        <v>0</v>
      </c>
      <c r="AU37" s="232">
        <f>$AF37*VLOOKUP($AA37,'SKOR PPH'!$B$13:$D$21,3,FALSE)</f>
        <v>0</v>
      </c>
    </row>
    <row r="38" spans="2:47" ht="15" customHeight="1" x14ac:dyDescent="0.2">
      <c r="B38" s="147" t="s">
        <v>18</v>
      </c>
      <c r="C38" s="148">
        <v>1000</v>
      </c>
      <c r="D38" s="149">
        <v>480</v>
      </c>
      <c r="E38" s="243">
        <v>90.24</v>
      </c>
      <c r="F38" s="149">
        <v>10.56</v>
      </c>
      <c r="G38" s="261">
        <v>0</v>
      </c>
      <c r="H38" s="150" t="s">
        <v>200</v>
      </c>
      <c r="I38" s="311">
        <v>0</v>
      </c>
      <c r="J38" s="311">
        <v>0</v>
      </c>
      <c r="K38" s="311">
        <v>0</v>
      </c>
      <c r="L38" s="144">
        <f t="shared" si="39"/>
        <v>0</v>
      </c>
      <c r="M38" s="144">
        <f t="shared" si="40"/>
        <v>0</v>
      </c>
      <c r="N38" s="144">
        <f t="shared" si="41"/>
        <v>0</v>
      </c>
      <c r="O38" s="144">
        <f t="shared" si="42"/>
        <v>0</v>
      </c>
      <c r="P38" s="144">
        <f t="shared" si="43"/>
        <v>0</v>
      </c>
      <c r="Q38" s="144">
        <f t="shared" si="44"/>
        <v>0</v>
      </c>
      <c r="R38" s="144">
        <f t="shared" si="45"/>
        <v>0</v>
      </c>
      <c r="S38" s="144">
        <f t="shared" si="46"/>
        <v>0</v>
      </c>
      <c r="T38" s="144">
        <f t="shared" si="47"/>
        <v>0</v>
      </c>
      <c r="U38" s="144">
        <f t="shared" si="48"/>
        <v>0</v>
      </c>
      <c r="V38" s="338">
        <f t="shared" si="49"/>
        <v>0</v>
      </c>
      <c r="W38" s="338">
        <f t="shared" si="50"/>
        <v>0</v>
      </c>
      <c r="X38" s="338">
        <f t="shared" si="51"/>
        <v>0</v>
      </c>
      <c r="Y38" s="338">
        <f t="shared" si="52"/>
        <v>0</v>
      </c>
      <c r="Z38" s="338">
        <f t="shared" si="53"/>
        <v>0</v>
      </c>
      <c r="AA38" s="151">
        <v>3</v>
      </c>
      <c r="AB38" s="176">
        <v>13</v>
      </c>
      <c r="AC38" s="177">
        <v>1</v>
      </c>
      <c r="AD38" s="232">
        <f t="shared" si="56"/>
        <v>0</v>
      </c>
      <c r="AE38" s="232">
        <f t="shared" si="54"/>
        <v>0</v>
      </c>
      <c r="AF38" s="232">
        <f t="shared" si="55"/>
        <v>0</v>
      </c>
      <c r="AG38" s="232">
        <f>M38*VLOOKUP($AA38,'SKOR PPH'!$B$13:$D$21,3,FALSE)</f>
        <v>0</v>
      </c>
      <c r="AH38" s="232">
        <f>N38*VLOOKUP($AA38,'SKOR PPH'!$B$13:$D$21,3,FALSE)</f>
        <v>0</v>
      </c>
      <c r="AI38" s="232">
        <f>O38*VLOOKUP($AA38,'SKOR PPH'!$B$13:$D$21,3,FALSE)</f>
        <v>0</v>
      </c>
      <c r="AJ38" s="232">
        <f>P38*VLOOKUP($AA38,'SKOR PPH'!$B$13:$D$21,3,FALSE)</f>
        <v>0</v>
      </c>
      <c r="AK38" s="232">
        <f>$AD38*VLOOKUP($AA38,'SKOR PPH'!$B$13:$D$21,3,FALSE)</f>
        <v>0</v>
      </c>
      <c r="AL38" s="232">
        <f>R38*VLOOKUP($AA38,'SKOR PPH'!$B$13:$D$21,3,FALSE)</f>
        <v>0</v>
      </c>
      <c r="AM38" s="232">
        <f>S38*VLOOKUP($AA38,'SKOR PPH'!$B$13:$D$21,3,FALSE)</f>
        <v>0</v>
      </c>
      <c r="AN38" s="232">
        <f>T38*VLOOKUP($AA38,'SKOR PPH'!$B$13:$D$21,3,FALSE)</f>
        <v>0</v>
      </c>
      <c r="AO38" s="232">
        <f>U38*VLOOKUP($AA38,'SKOR PPH'!$B$13:$D$21,3,FALSE)</f>
        <v>0</v>
      </c>
      <c r="AP38" s="232">
        <f>$AE38*VLOOKUP($AA38,'SKOR PPH'!$B$13:$D$21,3,FALSE)</f>
        <v>0</v>
      </c>
      <c r="AQ38" s="232">
        <f>W38*VLOOKUP($AA38,'SKOR PPH'!$B$13:$D$21,3,FALSE)</f>
        <v>0</v>
      </c>
      <c r="AR38" s="232">
        <f>X38*VLOOKUP($AA38,'SKOR PPH'!$B$13:$D$21,3,FALSE)</f>
        <v>0</v>
      </c>
      <c r="AS38" s="232">
        <f>Y38*VLOOKUP($AA38,'SKOR PPH'!$B$13:$D$21,3,FALSE)</f>
        <v>0</v>
      </c>
      <c r="AT38" s="232">
        <f>Z38*VLOOKUP($AA38,'SKOR PPH'!$B$13:$D$21,3,FALSE)</f>
        <v>0</v>
      </c>
      <c r="AU38" s="232">
        <f>$AF38*VLOOKUP($AA38,'SKOR PPH'!$B$13:$D$21,3,FALSE)</f>
        <v>0</v>
      </c>
    </row>
    <row r="39" spans="2:47" ht="15" customHeight="1" x14ac:dyDescent="0.2">
      <c r="B39" s="147" t="s">
        <v>19</v>
      </c>
      <c r="C39" s="148">
        <v>1000</v>
      </c>
      <c r="D39" s="149">
        <v>824</v>
      </c>
      <c r="E39" s="243">
        <v>176</v>
      </c>
      <c r="F39" s="149">
        <v>8</v>
      </c>
      <c r="G39" s="261">
        <v>0</v>
      </c>
      <c r="H39" s="150" t="s">
        <v>200</v>
      </c>
      <c r="I39" s="311">
        <v>3.4318901220531761E-3</v>
      </c>
      <c r="J39" s="311">
        <v>4.6462213142573899E-2</v>
      </c>
      <c r="K39" s="311">
        <v>4.9894103264627079E-2</v>
      </c>
      <c r="L39" s="144">
        <f t="shared" si="39"/>
        <v>0.49027001743616799</v>
      </c>
      <c r="M39" s="144">
        <f t="shared" si="40"/>
        <v>0.40398249436740247</v>
      </c>
      <c r="N39" s="144">
        <f t="shared" si="41"/>
        <v>8.6287523068765568E-2</v>
      </c>
      <c r="O39" s="144">
        <f t="shared" si="42"/>
        <v>3.9221601394893437E-3</v>
      </c>
      <c r="P39" s="144">
        <f t="shared" si="43"/>
        <v>0</v>
      </c>
      <c r="Q39" s="144">
        <f t="shared" si="44"/>
        <v>6.6374590203677002</v>
      </c>
      <c r="R39" s="144">
        <f t="shared" si="45"/>
        <v>5.4692662327829851</v>
      </c>
      <c r="S39" s="144">
        <f t="shared" si="46"/>
        <v>1.1681927875847151</v>
      </c>
      <c r="T39" s="144">
        <f t="shared" si="47"/>
        <v>5.3099672162941598E-2</v>
      </c>
      <c r="U39" s="144">
        <f t="shared" si="48"/>
        <v>0</v>
      </c>
      <c r="V39" s="338">
        <f t="shared" si="49"/>
        <v>7.127729037803868</v>
      </c>
      <c r="W39" s="338">
        <f t="shared" si="50"/>
        <v>5.8732487271503881</v>
      </c>
      <c r="X39" s="338">
        <f t="shared" si="51"/>
        <v>1.2544803106534808</v>
      </c>
      <c r="Y39" s="338">
        <f t="shared" si="52"/>
        <v>5.702183230243095E-2</v>
      </c>
      <c r="Z39" s="338">
        <f t="shared" si="53"/>
        <v>0</v>
      </c>
      <c r="AA39" s="151">
        <v>3</v>
      </c>
      <c r="AB39" s="176">
        <v>13</v>
      </c>
      <c r="AC39" s="177">
        <v>1</v>
      </c>
      <c r="AD39" s="232">
        <f t="shared" si="56"/>
        <v>0.49027001743616799</v>
      </c>
      <c r="AE39" s="232">
        <f t="shared" si="54"/>
        <v>6.6374590203677002</v>
      </c>
      <c r="AF39" s="232">
        <f t="shared" si="55"/>
        <v>7.127729037803868</v>
      </c>
      <c r="AG39" s="232">
        <f>M39*VLOOKUP($AA39,'SKOR PPH'!$B$13:$D$21,3,FALSE)</f>
        <v>0.43767463439764381</v>
      </c>
      <c r="AH39" s="232">
        <f>N39*VLOOKUP($AA39,'SKOR PPH'!$B$13:$D$21,3,FALSE)</f>
        <v>9.348390249270061E-2</v>
      </c>
      <c r="AI39" s="232">
        <f>O39*VLOOKUP($AA39,'SKOR PPH'!$B$13:$D$21,3,FALSE)</f>
        <v>4.2492682951227548E-3</v>
      </c>
      <c r="AJ39" s="232">
        <f>P39*VLOOKUP($AA39,'SKOR PPH'!$B$13:$D$21,3,FALSE)</f>
        <v>0</v>
      </c>
      <c r="AK39" s="232">
        <f>$AD39*VLOOKUP($AA39,'SKOR PPH'!$B$13:$D$21,3,FALSE)</f>
        <v>0.53115853689034431</v>
      </c>
      <c r="AL39" s="232">
        <f>R39*VLOOKUP($AA39,'SKOR PPH'!$B$13:$D$21,3,FALSE)</f>
        <v>5.9254030365970856</v>
      </c>
      <c r="AM39" s="232">
        <f>S39*VLOOKUP($AA39,'SKOR PPH'!$B$13:$D$21,3,FALSE)</f>
        <v>1.2656200660692802</v>
      </c>
      <c r="AN39" s="232">
        <f>T39*VLOOKUP($AA39,'SKOR PPH'!$B$13:$D$21,3,FALSE)</f>
        <v>5.7528184821330923E-2</v>
      </c>
      <c r="AO39" s="232">
        <f>U39*VLOOKUP($AA39,'SKOR PPH'!$B$13:$D$21,3,FALSE)</f>
        <v>0</v>
      </c>
      <c r="AP39" s="232">
        <f>$AE39*VLOOKUP($AA39,'SKOR PPH'!$B$13:$D$21,3,FALSE)</f>
        <v>7.1910231026663656</v>
      </c>
      <c r="AQ39" s="232">
        <f>W39*VLOOKUP($AA39,'SKOR PPH'!$B$13:$D$21,3,FALSE)</f>
        <v>6.3630776709947297</v>
      </c>
      <c r="AR39" s="232">
        <f>X39*VLOOKUP($AA39,'SKOR PPH'!$B$13:$D$21,3,FALSE)</f>
        <v>1.359103968561981</v>
      </c>
      <c r="AS39" s="232">
        <f>Y39*VLOOKUP($AA39,'SKOR PPH'!$B$13:$D$21,3,FALSE)</f>
        <v>6.1777453116453683E-2</v>
      </c>
      <c r="AT39" s="232">
        <f>Z39*VLOOKUP($AA39,'SKOR PPH'!$B$13:$D$21,3,FALSE)</f>
        <v>0</v>
      </c>
      <c r="AU39" s="232">
        <f>$AF39*VLOOKUP($AA39,'SKOR PPH'!$B$13:$D$21,3,FALSE)</f>
        <v>7.7221816395567098</v>
      </c>
    </row>
    <row r="40" spans="2:47" ht="15" customHeight="1" x14ac:dyDescent="0.2">
      <c r="B40" s="147" t="s">
        <v>20</v>
      </c>
      <c r="C40" s="148">
        <v>1000</v>
      </c>
      <c r="D40" s="149">
        <v>740</v>
      </c>
      <c r="E40" s="243">
        <v>103</v>
      </c>
      <c r="F40" s="149">
        <v>14</v>
      </c>
      <c r="G40" s="261">
        <v>41</v>
      </c>
      <c r="H40" s="150" t="s">
        <v>200</v>
      </c>
      <c r="I40" s="311">
        <v>1.5613570821124223E-3</v>
      </c>
      <c r="J40" s="311">
        <v>2.4893021266288583E-2</v>
      </c>
      <c r="K40" s="311">
        <v>2.6454378348401E-2</v>
      </c>
      <c r="L40" s="144">
        <f t="shared" si="39"/>
        <v>0.22305101173034605</v>
      </c>
      <c r="M40" s="144">
        <f t="shared" si="40"/>
        <v>0.16505774868045608</v>
      </c>
      <c r="N40" s="144">
        <f t="shared" si="41"/>
        <v>2.2974254208225641E-2</v>
      </c>
      <c r="O40" s="144">
        <f t="shared" si="42"/>
        <v>3.1227141642248446E-3</v>
      </c>
      <c r="P40" s="144">
        <f t="shared" si="43"/>
        <v>9.1450914809441865E-3</v>
      </c>
      <c r="Q40" s="144">
        <f t="shared" si="44"/>
        <v>3.5561458951840832</v>
      </c>
      <c r="R40" s="144">
        <f t="shared" si="45"/>
        <v>2.6315479624362217</v>
      </c>
      <c r="S40" s="144">
        <f t="shared" si="46"/>
        <v>0.36628302720396055</v>
      </c>
      <c r="T40" s="144">
        <f t="shared" si="47"/>
        <v>4.9786042532577165E-2</v>
      </c>
      <c r="U40" s="144">
        <f t="shared" si="48"/>
        <v>0.14580198170254741</v>
      </c>
      <c r="V40" s="338">
        <f t="shared" si="49"/>
        <v>3.7791969069144287</v>
      </c>
      <c r="W40" s="338">
        <f t="shared" si="50"/>
        <v>2.7966057111166771</v>
      </c>
      <c r="X40" s="338">
        <f t="shared" si="51"/>
        <v>0.38925728141218613</v>
      </c>
      <c r="Y40" s="338">
        <f t="shared" si="52"/>
        <v>5.2908756696801999E-2</v>
      </c>
      <c r="Z40" s="338">
        <f t="shared" si="53"/>
        <v>0.15494707318349157</v>
      </c>
      <c r="AA40" s="151">
        <v>3</v>
      </c>
      <c r="AB40" s="176">
        <v>13</v>
      </c>
      <c r="AC40" s="177">
        <v>1</v>
      </c>
      <c r="AD40" s="232">
        <f t="shared" si="56"/>
        <v>0.22305101173034605</v>
      </c>
      <c r="AE40" s="232">
        <f t="shared" si="54"/>
        <v>3.5561458951840832</v>
      </c>
      <c r="AF40" s="232">
        <f t="shared" si="55"/>
        <v>3.7791969069144287</v>
      </c>
      <c r="AG40" s="232">
        <f>M40*VLOOKUP($AA40,'SKOR PPH'!$B$13:$D$21,3,FALSE)</f>
        <v>0.1788235649204061</v>
      </c>
      <c r="AH40" s="232">
        <f>N40*VLOOKUP($AA40,'SKOR PPH'!$B$13:$D$21,3,FALSE)</f>
        <v>2.4890307009191658E-2</v>
      </c>
      <c r="AI40" s="232">
        <f>O40*VLOOKUP($AA40,'SKOR PPH'!$B$13:$D$21,3,FALSE)</f>
        <v>3.3831485255211963E-3</v>
      </c>
      <c r="AJ40" s="232">
        <f>P40*VLOOKUP($AA40,'SKOR PPH'!$B$13:$D$21,3,FALSE)</f>
        <v>9.9077921104549303E-3</v>
      </c>
      <c r="AK40" s="232">
        <f>$AD40*VLOOKUP($AA40,'SKOR PPH'!$B$13:$D$21,3,FALSE)</f>
        <v>0.2416534661086569</v>
      </c>
      <c r="AL40" s="232">
        <f>R40*VLOOKUP($AA40,'SKOR PPH'!$B$13:$D$21,3,FALSE)</f>
        <v>2.8510190625034024</v>
      </c>
      <c r="AM40" s="232">
        <f>S40*VLOOKUP($AA40,'SKOR PPH'!$B$13:$D$21,3,FALSE)</f>
        <v>0.39683103167277084</v>
      </c>
      <c r="AN40" s="232">
        <f>T40*VLOOKUP($AA40,'SKOR PPH'!$B$13:$D$21,3,FALSE)</f>
        <v>5.39381984797941E-2</v>
      </c>
      <c r="AO40" s="232">
        <f>U40*VLOOKUP($AA40,'SKOR PPH'!$B$13:$D$21,3,FALSE)</f>
        <v>0.15796186697653986</v>
      </c>
      <c r="AP40" s="232">
        <f>$AE40*VLOOKUP($AA40,'SKOR PPH'!$B$13:$D$21,3,FALSE)</f>
        <v>3.8527284628424354</v>
      </c>
      <c r="AQ40" s="232">
        <f>W40*VLOOKUP($AA40,'SKOR PPH'!$B$13:$D$21,3,FALSE)</f>
        <v>3.0298426274238079</v>
      </c>
      <c r="AR40" s="232">
        <f>X40*VLOOKUP($AA40,'SKOR PPH'!$B$13:$D$21,3,FALSE)</f>
        <v>0.42172133868196243</v>
      </c>
      <c r="AS40" s="232">
        <f>Y40*VLOOKUP($AA40,'SKOR PPH'!$B$13:$D$21,3,FALSE)</f>
        <v>5.7321347005315285E-2</v>
      </c>
      <c r="AT40" s="232">
        <f>Z40*VLOOKUP($AA40,'SKOR PPH'!$B$13:$D$21,3,FALSE)</f>
        <v>0.16786965908699475</v>
      </c>
      <c r="AU40" s="232">
        <f>$AF40*VLOOKUP($AA40,'SKOR PPH'!$B$13:$D$21,3,FALSE)</f>
        <v>4.0943819289510914</v>
      </c>
    </row>
    <row r="41" spans="2:47" ht="15" customHeight="1" x14ac:dyDescent="0.2">
      <c r="B41" s="147" t="s">
        <v>21</v>
      </c>
      <c r="C41" s="148">
        <v>1000</v>
      </c>
      <c r="D41" s="149">
        <v>1032</v>
      </c>
      <c r="E41" s="243">
        <v>160</v>
      </c>
      <c r="F41" s="149">
        <v>38.4</v>
      </c>
      <c r="G41" s="261">
        <v>0</v>
      </c>
      <c r="H41" s="150" t="s">
        <v>200</v>
      </c>
      <c r="I41" s="311">
        <v>0</v>
      </c>
      <c r="J41" s="311">
        <v>0</v>
      </c>
      <c r="K41" s="311">
        <v>0</v>
      </c>
      <c r="L41" s="144">
        <f t="shared" si="39"/>
        <v>0</v>
      </c>
      <c r="M41" s="144">
        <f t="shared" si="40"/>
        <v>0</v>
      </c>
      <c r="N41" s="144">
        <f t="shared" si="41"/>
        <v>0</v>
      </c>
      <c r="O41" s="144">
        <f t="shared" si="42"/>
        <v>0</v>
      </c>
      <c r="P41" s="144">
        <f t="shared" si="43"/>
        <v>0</v>
      </c>
      <c r="Q41" s="144">
        <f t="shared" si="44"/>
        <v>0</v>
      </c>
      <c r="R41" s="144">
        <f t="shared" si="45"/>
        <v>0</v>
      </c>
      <c r="S41" s="144">
        <f t="shared" si="46"/>
        <v>0</v>
      </c>
      <c r="T41" s="144">
        <f t="shared" si="47"/>
        <v>0</v>
      </c>
      <c r="U41" s="144">
        <f t="shared" si="48"/>
        <v>0</v>
      </c>
      <c r="V41" s="338">
        <f t="shared" si="49"/>
        <v>0</v>
      </c>
      <c r="W41" s="338">
        <f t="shared" si="50"/>
        <v>0</v>
      </c>
      <c r="X41" s="338">
        <f t="shared" si="51"/>
        <v>0</v>
      </c>
      <c r="Y41" s="338">
        <f t="shared" si="52"/>
        <v>0</v>
      </c>
      <c r="Z41" s="338">
        <f t="shared" si="53"/>
        <v>0</v>
      </c>
      <c r="AA41" s="151">
        <v>3</v>
      </c>
      <c r="AB41" s="176">
        <v>13</v>
      </c>
      <c r="AC41" s="177">
        <v>1</v>
      </c>
      <c r="AD41" s="232">
        <f t="shared" si="56"/>
        <v>0</v>
      </c>
      <c r="AE41" s="232">
        <f t="shared" si="54"/>
        <v>0</v>
      </c>
      <c r="AF41" s="232">
        <f t="shared" si="55"/>
        <v>0</v>
      </c>
      <c r="AG41" s="232">
        <f>M41*VLOOKUP($AA41,'SKOR PPH'!$B$13:$D$21,3,FALSE)</f>
        <v>0</v>
      </c>
      <c r="AH41" s="232">
        <f>N41*VLOOKUP($AA41,'SKOR PPH'!$B$13:$D$21,3,FALSE)</f>
        <v>0</v>
      </c>
      <c r="AI41" s="232">
        <f>O41*VLOOKUP($AA41,'SKOR PPH'!$B$13:$D$21,3,FALSE)</f>
        <v>0</v>
      </c>
      <c r="AJ41" s="232">
        <f>P41*VLOOKUP($AA41,'SKOR PPH'!$B$13:$D$21,3,FALSE)</f>
        <v>0</v>
      </c>
      <c r="AK41" s="232">
        <f>$AD41*VLOOKUP($AA41,'SKOR PPH'!$B$13:$D$21,3,FALSE)</f>
        <v>0</v>
      </c>
      <c r="AL41" s="232">
        <f>R41*VLOOKUP($AA41,'SKOR PPH'!$B$13:$D$21,3,FALSE)</f>
        <v>0</v>
      </c>
      <c r="AM41" s="232">
        <f>S41*VLOOKUP($AA41,'SKOR PPH'!$B$13:$D$21,3,FALSE)</f>
        <v>0</v>
      </c>
      <c r="AN41" s="232">
        <f>T41*VLOOKUP($AA41,'SKOR PPH'!$B$13:$D$21,3,FALSE)</f>
        <v>0</v>
      </c>
      <c r="AO41" s="232">
        <f>U41*VLOOKUP($AA41,'SKOR PPH'!$B$13:$D$21,3,FALSE)</f>
        <v>0</v>
      </c>
      <c r="AP41" s="232">
        <f>$AE41*VLOOKUP($AA41,'SKOR PPH'!$B$13:$D$21,3,FALSE)</f>
        <v>0</v>
      </c>
      <c r="AQ41" s="232">
        <f>W41*VLOOKUP($AA41,'SKOR PPH'!$B$13:$D$21,3,FALSE)</f>
        <v>0</v>
      </c>
      <c r="AR41" s="232">
        <f>X41*VLOOKUP($AA41,'SKOR PPH'!$B$13:$D$21,3,FALSE)</f>
        <v>0</v>
      </c>
      <c r="AS41" s="232">
        <f>Y41*VLOOKUP($AA41,'SKOR PPH'!$B$13:$D$21,3,FALSE)</f>
        <v>0</v>
      </c>
      <c r="AT41" s="232">
        <f>Z41*VLOOKUP($AA41,'SKOR PPH'!$B$13:$D$21,3,FALSE)</f>
        <v>0</v>
      </c>
      <c r="AU41" s="232">
        <f>$AF41*VLOOKUP($AA41,'SKOR PPH'!$B$13:$D$21,3,FALSE)</f>
        <v>0</v>
      </c>
    </row>
    <row r="42" spans="2:47" ht="15" customHeight="1" x14ac:dyDescent="0.2">
      <c r="B42" s="147" t="s">
        <v>22</v>
      </c>
      <c r="C42" s="148">
        <v>1000</v>
      </c>
      <c r="D42" s="149">
        <v>477.4</v>
      </c>
      <c r="E42" s="243">
        <v>76.88</v>
      </c>
      <c r="F42" s="149">
        <v>6.2</v>
      </c>
      <c r="G42" s="261">
        <v>22.94</v>
      </c>
      <c r="H42" s="150" t="s">
        <v>200</v>
      </c>
      <c r="I42" s="311">
        <v>0</v>
      </c>
      <c r="J42" s="311">
        <v>0</v>
      </c>
      <c r="K42" s="311">
        <v>0</v>
      </c>
      <c r="L42" s="144">
        <f t="shared" si="39"/>
        <v>0</v>
      </c>
      <c r="M42" s="144">
        <f t="shared" si="40"/>
        <v>0</v>
      </c>
      <c r="N42" s="144">
        <f t="shared" si="41"/>
        <v>0</v>
      </c>
      <c r="O42" s="144">
        <f t="shared" si="42"/>
        <v>0</v>
      </c>
      <c r="P42" s="144">
        <f t="shared" si="43"/>
        <v>0</v>
      </c>
      <c r="Q42" s="144">
        <f t="shared" si="44"/>
        <v>0</v>
      </c>
      <c r="R42" s="144">
        <f t="shared" si="45"/>
        <v>0</v>
      </c>
      <c r="S42" s="144">
        <f t="shared" si="46"/>
        <v>0</v>
      </c>
      <c r="T42" s="144">
        <f t="shared" si="47"/>
        <v>0</v>
      </c>
      <c r="U42" s="144">
        <f t="shared" si="48"/>
        <v>0</v>
      </c>
      <c r="V42" s="338">
        <f t="shared" si="49"/>
        <v>0</v>
      </c>
      <c r="W42" s="338">
        <f t="shared" si="50"/>
        <v>0</v>
      </c>
      <c r="X42" s="338">
        <f t="shared" si="51"/>
        <v>0</v>
      </c>
      <c r="Y42" s="338">
        <f t="shared" si="52"/>
        <v>0</v>
      </c>
      <c r="Z42" s="338">
        <f t="shared" si="53"/>
        <v>0</v>
      </c>
      <c r="AA42" s="151">
        <v>3</v>
      </c>
      <c r="AB42" s="176">
        <v>13</v>
      </c>
      <c r="AC42" s="177">
        <v>1</v>
      </c>
      <c r="AD42" s="232">
        <f t="shared" si="56"/>
        <v>0</v>
      </c>
      <c r="AE42" s="232">
        <f t="shared" si="54"/>
        <v>0</v>
      </c>
      <c r="AF42" s="232">
        <f t="shared" si="55"/>
        <v>0</v>
      </c>
      <c r="AG42" s="232">
        <f>M42*VLOOKUP($AA42,'SKOR PPH'!$B$13:$D$21,3,FALSE)</f>
        <v>0</v>
      </c>
      <c r="AH42" s="232">
        <f>N42*VLOOKUP($AA42,'SKOR PPH'!$B$13:$D$21,3,FALSE)</f>
        <v>0</v>
      </c>
      <c r="AI42" s="232">
        <f>O42*VLOOKUP($AA42,'SKOR PPH'!$B$13:$D$21,3,FALSE)</f>
        <v>0</v>
      </c>
      <c r="AJ42" s="232">
        <f>P42*VLOOKUP($AA42,'SKOR PPH'!$B$13:$D$21,3,FALSE)</f>
        <v>0</v>
      </c>
      <c r="AK42" s="232">
        <f>$AD42*VLOOKUP($AA42,'SKOR PPH'!$B$13:$D$21,3,FALSE)</f>
        <v>0</v>
      </c>
      <c r="AL42" s="232">
        <f>R42*VLOOKUP($AA42,'SKOR PPH'!$B$13:$D$21,3,FALSE)</f>
        <v>0</v>
      </c>
      <c r="AM42" s="232">
        <f>S42*VLOOKUP($AA42,'SKOR PPH'!$B$13:$D$21,3,FALSE)</f>
        <v>0</v>
      </c>
      <c r="AN42" s="232">
        <f>T42*VLOOKUP($AA42,'SKOR PPH'!$B$13:$D$21,3,FALSE)</f>
        <v>0</v>
      </c>
      <c r="AO42" s="232">
        <f>U42*VLOOKUP($AA42,'SKOR PPH'!$B$13:$D$21,3,FALSE)</f>
        <v>0</v>
      </c>
      <c r="AP42" s="232">
        <f>$AE42*VLOOKUP($AA42,'SKOR PPH'!$B$13:$D$21,3,FALSE)</f>
        <v>0</v>
      </c>
      <c r="AQ42" s="232">
        <f>W42*VLOOKUP($AA42,'SKOR PPH'!$B$13:$D$21,3,FALSE)</f>
        <v>0</v>
      </c>
      <c r="AR42" s="232">
        <f>X42*VLOOKUP($AA42,'SKOR PPH'!$B$13:$D$21,3,FALSE)</f>
        <v>0</v>
      </c>
      <c r="AS42" s="232">
        <f>Y42*VLOOKUP($AA42,'SKOR PPH'!$B$13:$D$21,3,FALSE)</f>
        <v>0</v>
      </c>
      <c r="AT42" s="232">
        <f>Z42*VLOOKUP($AA42,'SKOR PPH'!$B$13:$D$21,3,FALSE)</f>
        <v>0</v>
      </c>
      <c r="AU42" s="232">
        <f>$AF42*VLOOKUP($AA42,'SKOR PPH'!$B$13:$D$21,3,FALSE)</f>
        <v>0</v>
      </c>
    </row>
    <row r="43" spans="2:47" ht="15" customHeight="1" x14ac:dyDescent="0.2">
      <c r="B43" s="147" t="s">
        <v>23</v>
      </c>
      <c r="C43" s="148">
        <v>1000</v>
      </c>
      <c r="D43" s="149">
        <v>712</v>
      </c>
      <c r="E43" s="243">
        <v>149.6</v>
      </c>
      <c r="F43" s="149">
        <v>8</v>
      </c>
      <c r="G43" s="261">
        <v>0</v>
      </c>
      <c r="H43" s="150" t="s">
        <v>200</v>
      </c>
      <c r="I43" s="311">
        <v>2.8776301781084268E-3</v>
      </c>
      <c r="J43" s="311">
        <v>3.0474053049055054E-3</v>
      </c>
      <c r="K43" s="311">
        <v>5.9250354830139339E-3</v>
      </c>
      <c r="L43" s="144">
        <f t="shared" si="39"/>
        <v>0.41109002544406098</v>
      </c>
      <c r="M43" s="144">
        <f t="shared" si="40"/>
        <v>0.29269609811617142</v>
      </c>
      <c r="N43" s="144">
        <f t="shared" si="41"/>
        <v>6.1499067806431516E-2</v>
      </c>
      <c r="O43" s="144">
        <f t="shared" si="42"/>
        <v>3.288720203552488E-3</v>
      </c>
      <c r="P43" s="144">
        <f t="shared" si="43"/>
        <v>0</v>
      </c>
      <c r="Q43" s="144">
        <f t="shared" si="44"/>
        <v>0.43534361498650076</v>
      </c>
      <c r="R43" s="144">
        <f t="shared" si="45"/>
        <v>0.30996465387038852</v>
      </c>
      <c r="S43" s="144">
        <f t="shared" si="46"/>
        <v>6.512740480198051E-2</v>
      </c>
      <c r="T43" s="144">
        <f t="shared" si="47"/>
        <v>3.4827489198920062E-3</v>
      </c>
      <c r="U43" s="144">
        <f t="shared" si="48"/>
        <v>0</v>
      </c>
      <c r="V43" s="338">
        <f t="shared" si="49"/>
        <v>0.84643364043056202</v>
      </c>
      <c r="W43" s="338">
        <f t="shared" si="50"/>
        <v>0.60266075198656011</v>
      </c>
      <c r="X43" s="338">
        <f t="shared" si="51"/>
        <v>0.12662647260841206</v>
      </c>
      <c r="Y43" s="338">
        <f t="shared" si="52"/>
        <v>6.7714691234444955E-3</v>
      </c>
      <c r="Z43" s="338">
        <f t="shared" si="53"/>
        <v>0</v>
      </c>
      <c r="AA43" s="151">
        <v>3</v>
      </c>
      <c r="AB43" s="176">
        <v>13</v>
      </c>
      <c r="AC43" s="177">
        <v>1</v>
      </c>
      <c r="AD43" s="232">
        <f t="shared" si="56"/>
        <v>0.41109002544406098</v>
      </c>
      <c r="AE43" s="232">
        <f t="shared" si="54"/>
        <v>0.43534361498650076</v>
      </c>
      <c r="AF43" s="232">
        <f t="shared" si="55"/>
        <v>0.84643364043056202</v>
      </c>
      <c r="AG43" s="232">
        <f>M43*VLOOKUP($AA43,'SKOR PPH'!$B$13:$D$21,3,FALSE)</f>
        <v>0.31710695269906009</v>
      </c>
      <c r="AH43" s="232">
        <f>N43*VLOOKUP($AA43,'SKOR PPH'!$B$13:$D$21,3,FALSE)</f>
        <v>6.6628090061487899E-2</v>
      </c>
      <c r="AI43" s="232">
        <f>O43*VLOOKUP($AA43,'SKOR PPH'!$B$13:$D$21,3,FALSE)</f>
        <v>3.5629994685287651E-3</v>
      </c>
      <c r="AJ43" s="232">
        <f>P43*VLOOKUP($AA43,'SKOR PPH'!$B$13:$D$21,3,FALSE)</f>
        <v>0</v>
      </c>
      <c r="AK43" s="232">
        <f>$AD43*VLOOKUP($AA43,'SKOR PPH'!$B$13:$D$21,3,FALSE)</f>
        <v>0.44537493356609564</v>
      </c>
      <c r="AL43" s="232">
        <f>R43*VLOOKUP($AA43,'SKOR PPH'!$B$13:$D$21,3,FALSE)</f>
        <v>0.33581570600317889</v>
      </c>
      <c r="AM43" s="232">
        <f>S43*VLOOKUP($AA43,'SKOR PPH'!$B$13:$D$21,3,FALSE)</f>
        <v>7.0559030362465677E-2</v>
      </c>
      <c r="AN43" s="232">
        <f>T43*VLOOKUP($AA43,'SKOR PPH'!$B$13:$D$21,3,FALSE)</f>
        <v>3.7732101798109994E-3</v>
      </c>
      <c r="AO43" s="232">
        <f>U43*VLOOKUP($AA43,'SKOR PPH'!$B$13:$D$21,3,FALSE)</f>
        <v>0</v>
      </c>
      <c r="AP43" s="232">
        <f>$AE43*VLOOKUP($AA43,'SKOR PPH'!$B$13:$D$21,3,FALSE)</f>
        <v>0.47165127247637489</v>
      </c>
      <c r="AQ43" s="232">
        <f>W43*VLOOKUP($AA43,'SKOR PPH'!$B$13:$D$21,3,FALSE)</f>
        <v>0.6529226587022392</v>
      </c>
      <c r="AR43" s="232">
        <f>X43*VLOOKUP($AA43,'SKOR PPH'!$B$13:$D$21,3,FALSE)</f>
        <v>0.13718712042395362</v>
      </c>
      <c r="AS43" s="232">
        <f>Y43*VLOOKUP($AA43,'SKOR PPH'!$B$13:$D$21,3,FALSE)</f>
        <v>7.3362096483397662E-3</v>
      </c>
      <c r="AT43" s="232">
        <f>Z43*VLOOKUP($AA43,'SKOR PPH'!$B$13:$D$21,3,FALSE)</f>
        <v>0</v>
      </c>
      <c r="AU43" s="232">
        <f>$AF43*VLOOKUP($AA43,'SKOR PPH'!$B$13:$D$21,3,FALSE)</f>
        <v>0.91702620604247087</v>
      </c>
    </row>
    <row r="44" spans="2:47" ht="15" customHeight="1" x14ac:dyDescent="0.2">
      <c r="B44" s="147" t="s">
        <v>24</v>
      </c>
      <c r="C44" s="148">
        <v>1000</v>
      </c>
      <c r="D44" s="149">
        <v>688</v>
      </c>
      <c r="E44" s="243">
        <v>128</v>
      </c>
      <c r="F44" s="149">
        <v>16</v>
      </c>
      <c r="G44" s="261">
        <v>0</v>
      </c>
      <c r="H44" s="150" t="s">
        <v>200</v>
      </c>
      <c r="I44" s="311">
        <v>0</v>
      </c>
      <c r="J44" s="311">
        <v>0</v>
      </c>
      <c r="K44" s="311">
        <v>0</v>
      </c>
      <c r="L44" s="144">
        <f t="shared" si="39"/>
        <v>0</v>
      </c>
      <c r="M44" s="144">
        <f t="shared" si="40"/>
        <v>0</v>
      </c>
      <c r="N44" s="144">
        <f t="shared" si="41"/>
        <v>0</v>
      </c>
      <c r="O44" s="144">
        <f t="shared" si="42"/>
        <v>0</v>
      </c>
      <c r="P44" s="144">
        <f t="shared" si="43"/>
        <v>0</v>
      </c>
      <c r="Q44" s="144">
        <f t="shared" si="44"/>
        <v>0</v>
      </c>
      <c r="R44" s="144">
        <f t="shared" si="45"/>
        <v>0</v>
      </c>
      <c r="S44" s="144">
        <f t="shared" si="46"/>
        <v>0</v>
      </c>
      <c r="T44" s="144">
        <f t="shared" si="47"/>
        <v>0</v>
      </c>
      <c r="U44" s="144">
        <f t="shared" si="48"/>
        <v>0</v>
      </c>
      <c r="V44" s="338">
        <f t="shared" si="49"/>
        <v>0</v>
      </c>
      <c r="W44" s="338">
        <f t="shared" si="50"/>
        <v>0</v>
      </c>
      <c r="X44" s="338">
        <f t="shared" si="51"/>
        <v>0</v>
      </c>
      <c r="Y44" s="338">
        <f t="shared" si="52"/>
        <v>0</v>
      </c>
      <c r="Z44" s="338">
        <f t="shared" si="53"/>
        <v>0</v>
      </c>
      <c r="AA44" s="151">
        <v>3</v>
      </c>
      <c r="AB44" s="176">
        <v>13</v>
      </c>
      <c r="AC44" s="177">
        <v>1</v>
      </c>
      <c r="AD44" s="232">
        <f t="shared" si="56"/>
        <v>0</v>
      </c>
      <c r="AE44" s="232">
        <f t="shared" si="54"/>
        <v>0</v>
      </c>
      <c r="AF44" s="232">
        <f t="shared" si="55"/>
        <v>0</v>
      </c>
      <c r="AG44" s="232">
        <f>M44*VLOOKUP($AA44,'SKOR PPH'!$B$13:$D$21,3,FALSE)</f>
        <v>0</v>
      </c>
      <c r="AH44" s="232">
        <f>N44*VLOOKUP($AA44,'SKOR PPH'!$B$13:$D$21,3,FALSE)</f>
        <v>0</v>
      </c>
      <c r="AI44" s="232">
        <f>O44*VLOOKUP($AA44,'SKOR PPH'!$B$13:$D$21,3,FALSE)</f>
        <v>0</v>
      </c>
      <c r="AJ44" s="232">
        <f>P44*VLOOKUP($AA44,'SKOR PPH'!$B$13:$D$21,3,FALSE)</f>
        <v>0</v>
      </c>
      <c r="AK44" s="232">
        <f>$AD44*VLOOKUP($AA44,'SKOR PPH'!$B$13:$D$21,3,FALSE)</f>
        <v>0</v>
      </c>
      <c r="AL44" s="232">
        <f>R44*VLOOKUP($AA44,'SKOR PPH'!$B$13:$D$21,3,FALSE)</f>
        <v>0</v>
      </c>
      <c r="AM44" s="232">
        <f>S44*VLOOKUP($AA44,'SKOR PPH'!$B$13:$D$21,3,FALSE)</f>
        <v>0</v>
      </c>
      <c r="AN44" s="232">
        <f>T44*VLOOKUP($AA44,'SKOR PPH'!$B$13:$D$21,3,FALSE)</f>
        <v>0</v>
      </c>
      <c r="AO44" s="232">
        <f>U44*VLOOKUP($AA44,'SKOR PPH'!$B$13:$D$21,3,FALSE)</f>
        <v>0</v>
      </c>
      <c r="AP44" s="232">
        <f>$AE44*VLOOKUP($AA44,'SKOR PPH'!$B$13:$D$21,3,FALSE)</f>
        <v>0</v>
      </c>
      <c r="AQ44" s="232">
        <f>W44*VLOOKUP($AA44,'SKOR PPH'!$B$13:$D$21,3,FALSE)</f>
        <v>0</v>
      </c>
      <c r="AR44" s="232">
        <f>X44*VLOOKUP($AA44,'SKOR PPH'!$B$13:$D$21,3,FALSE)</f>
        <v>0</v>
      </c>
      <c r="AS44" s="232">
        <f>Y44*VLOOKUP($AA44,'SKOR PPH'!$B$13:$D$21,3,FALSE)</f>
        <v>0</v>
      </c>
      <c r="AT44" s="232">
        <f>Z44*VLOOKUP($AA44,'SKOR PPH'!$B$13:$D$21,3,FALSE)</f>
        <v>0</v>
      </c>
      <c r="AU44" s="232">
        <f>$AF44*VLOOKUP($AA44,'SKOR PPH'!$B$13:$D$21,3,FALSE)</f>
        <v>0</v>
      </c>
    </row>
    <row r="45" spans="2:47" ht="15" customHeight="1" x14ac:dyDescent="0.2">
      <c r="B45" s="147" t="s">
        <v>25</v>
      </c>
      <c r="C45" s="148">
        <v>1000</v>
      </c>
      <c r="D45" s="149">
        <v>477.4</v>
      </c>
      <c r="E45" s="243">
        <v>76.88</v>
      </c>
      <c r="F45" s="149">
        <v>6.2</v>
      </c>
      <c r="G45" s="261">
        <v>22.94</v>
      </c>
      <c r="H45" s="150" t="s">
        <v>200</v>
      </c>
      <c r="I45" s="311">
        <v>2.4668346205534097E-3</v>
      </c>
      <c r="J45" s="311">
        <v>7.7003367117281863E-3</v>
      </c>
      <c r="K45" s="311">
        <v>1.0167171332281599E-2</v>
      </c>
      <c r="L45" s="144">
        <f t="shared" si="39"/>
        <v>0.35240494579334419</v>
      </c>
      <c r="M45" s="144">
        <f t="shared" si="40"/>
        <v>0.16823812112174252</v>
      </c>
      <c r="N45" s="144">
        <f t="shared" si="41"/>
        <v>2.7092892232592303E-2</v>
      </c>
      <c r="O45" s="144">
        <f t="shared" si="42"/>
        <v>2.1849106639187346E-3</v>
      </c>
      <c r="P45" s="144">
        <f t="shared" si="43"/>
        <v>8.0841694564993179E-3</v>
      </c>
      <c r="Q45" s="144">
        <f t="shared" si="44"/>
        <v>1.1000481016754553</v>
      </c>
      <c r="R45" s="144">
        <f t="shared" si="45"/>
        <v>0.52516296373986227</v>
      </c>
      <c r="S45" s="144">
        <f t="shared" si="46"/>
        <v>8.4571698056808989E-2</v>
      </c>
      <c r="T45" s="144">
        <f t="shared" si="47"/>
        <v>6.8202982303878223E-3</v>
      </c>
      <c r="U45" s="144">
        <f t="shared" si="48"/>
        <v>2.5235103452434942E-2</v>
      </c>
      <c r="V45" s="338">
        <f t="shared" si="49"/>
        <v>1.4524530474688</v>
      </c>
      <c r="W45" s="338">
        <f t="shared" si="50"/>
        <v>0.69340108486160512</v>
      </c>
      <c r="X45" s="338">
        <f t="shared" si="51"/>
        <v>0.11166459028940133</v>
      </c>
      <c r="Y45" s="338">
        <f t="shared" si="52"/>
        <v>9.00520889430656E-3</v>
      </c>
      <c r="Z45" s="338">
        <f t="shared" si="53"/>
        <v>3.3319272908934272E-2</v>
      </c>
      <c r="AA45" s="151">
        <v>3</v>
      </c>
      <c r="AB45" s="176">
        <v>13</v>
      </c>
      <c r="AC45" s="177">
        <v>1</v>
      </c>
      <c r="AD45" s="232">
        <f t="shared" si="56"/>
        <v>0.35240494579334419</v>
      </c>
      <c r="AE45" s="232">
        <f t="shared" si="54"/>
        <v>1.1000481016754553</v>
      </c>
      <c r="AF45" s="232">
        <f t="shared" si="55"/>
        <v>1.4524530474688</v>
      </c>
      <c r="AG45" s="232">
        <f>M45*VLOOKUP($AA45,'SKOR PPH'!$B$13:$D$21,3,FALSE)</f>
        <v>0.18226918042329585</v>
      </c>
      <c r="AH45" s="232">
        <f>N45*VLOOKUP($AA45,'SKOR PPH'!$B$13:$D$21,3,FALSE)</f>
        <v>2.9352439444790501E-2</v>
      </c>
      <c r="AI45" s="232">
        <f>O45*VLOOKUP($AA45,'SKOR PPH'!$B$13:$D$21,3,FALSE)</f>
        <v>2.3671322132895571E-3</v>
      </c>
      <c r="AJ45" s="232">
        <f>P45*VLOOKUP($AA45,'SKOR PPH'!$B$13:$D$21,3,FALSE)</f>
        <v>8.758389189171361E-3</v>
      </c>
      <c r="AK45" s="232">
        <f>$AD45*VLOOKUP($AA45,'SKOR PPH'!$B$13:$D$21,3,FALSE)</f>
        <v>0.38179551827250907</v>
      </c>
      <c r="AL45" s="232">
        <f>R45*VLOOKUP($AA45,'SKOR PPH'!$B$13:$D$21,3,FALSE)</f>
        <v>0.56896155491576672</v>
      </c>
      <c r="AM45" s="232">
        <f>S45*VLOOKUP($AA45,'SKOR PPH'!$B$13:$D$21,3,FALSE)</f>
        <v>9.1624977674746852E-2</v>
      </c>
      <c r="AN45" s="232">
        <f>T45*VLOOKUP($AA45,'SKOR PPH'!$B$13:$D$21,3,FALSE)</f>
        <v>7.3891111028021664E-3</v>
      </c>
      <c r="AO45" s="232">
        <f>U45*VLOOKUP($AA45,'SKOR PPH'!$B$13:$D$21,3,FALSE)</f>
        <v>2.7339711080368014E-2</v>
      </c>
      <c r="AP45" s="232">
        <f>$AE45*VLOOKUP($AA45,'SKOR PPH'!$B$13:$D$21,3,FALSE)</f>
        <v>1.1917921133551881</v>
      </c>
      <c r="AQ45" s="232">
        <f>W45*VLOOKUP($AA45,'SKOR PPH'!$B$13:$D$21,3,FALSE)</f>
        <v>0.75123073533906293</v>
      </c>
      <c r="AR45" s="232">
        <f>X45*VLOOKUP($AA45,'SKOR PPH'!$B$13:$D$21,3,FALSE)</f>
        <v>0.1209774171195374</v>
      </c>
      <c r="AS45" s="232">
        <f>Y45*VLOOKUP($AA45,'SKOR PPH'!$B$13:$D$21,3,FALSE)</f>
        <v>9.756243316091727E-3</v>
      </c>
      <c r="AT45" s="232">
        <f>Z45*VLOOKUP($AA45,'SKOR PPH'!$B$13:$D$21,3,FALSE)</f>
        <v>3.6098100269539385E-2</v>
      </c>
      <c r="AU45" s="232">
        <f>$AF45*VLOOKUP($AA45,'SKOR PPH'!$B$13:$D$21,3,FALSE)</f>
        <v>1.5735876316276978</v>
      </c>
    </row>
    <row r="46" spans="2:47" ht="15" customHeight="1" x14ac:dyDescent="0.2">
      <c r="B46" s="147" t="s">
        <v>26</v>
      </c>
      <c r="C46" s="148">
        <v>1000</v>
      </c>
      <c r="D46" s="149">
        <v>736</v>
      </c>
      <c r="E46" s="243">
        <v>160</v>
      </c>
      <c r="F46" s="149">
        <v>5.6</v>
      </c>
      <c r="G46" s="261">
        <v>0</v>
      </c>
      <c r="H46" s="150" t="s">
        <v>200</v>
      </c>
      <c r="I46" s="311">
        <v>0</v>
      </c>
      <c r="J46" s="311">
        <v>0</v>
      </c>
      <c r="K46" s="311">
        <v>0</v>
      </c>
      <c r="L46" s="144">
        <f t="shared" si="39"/>
        <v>0</v>
      </c>
      <c r="M46" s="144">
        <f t="shared" si="40"/>
        <v>0</v>
      </c>
      <c r="N46" s="144">
        <f t="shared" si="41"/>
        <v>0</v>
      </c>
      <c r="O46" s="144">
        <f t="shared" si="42"/>
        <v>0</v>
      </c>
      <c r="P46" s="144">
        <f t="shared" si="43"/>
        <v>0</v>
      </c>
      <c r="Q46" s="144">
        <f t="shared" si="44"/>
        <v>0</v>
      </c>
      <c r="R46" s="144">
        <f t="shared" si="45"/>
        <v>0</v>
      </c>
      <c r="S46" s="144">
        <f t="shared" si="46"/>
        <v>0</v>
      </c>
      <c r="T46" s="144">
        <f t="shared" si="47"/>
        <v>0</v>
      </c>
      <c r="U46" s="144">
        <f t="shared" si="48"/>
        <v>0</v>
      </c>
      <c r="V46" s="338">
        <f t="shared" si="49"/>
        <v>0</v>
      </c>
      <c r="W46" s="338">
        <f t="shared" si="50"/>
        <v>0</v>
      </c>
      <c r="X46" s="338">
        <f t="shared" si="51"/>
        <v>0</v>
      </c>
      <c r="Y46" s="338">
        <f t="shared" si="52"/>
        <v>0</v>
      </c>
      <c r="Z46" s="338">
        <f t="shared" si="53"/>
        <v>0</v>
      </c>
      <c r="AA46" s="151">
        <v>3</v>
      </c>
      <c r="AB46" s="176">
        <v>13</v>
      </c>
      <c r="AC46" s="177">
        <v>1</v>
      </c>
      <c r="AD46" s="232">
        <f t="shared" si="56"/>
        <v>0</v>
      </c>
      <c r="AE46" s="232">
        <f t="shared" si="54"/>
        <v>0</v>
      </c>
      <c r="AF46" s="232">
        <f t="shared" si="55"/>
        <v>0</v>
      </c>
      <c r="AG46" s="232">
        <f>M46*VLOOKUP($AA46,'SKOR PPH'!$B$13:$D$21,3,FALSE)</f>
        <v>0</v>
      </c>
      <c r="AH46" s="232">
        <f>N46*VLOOKUP($AA46,'SKOR PPH'!$B$13:$D$21,3,FALSE)</f>
        <v>0</v>
      </c>
      <c r="AI46" s="232">
        <f>O46*VLOOKUP($AA46,'SKOR PPH'!$B$13:$D$21,3,FALSE)</f>
        <v>0</v>
      </c>
      <c r="AJ46" s="232">
        <f>P46*VLOOKUP($AA46,'SKOR PPH'!$B$13:$D$21,3,FALSE)</f>
        <v>0</v>
      </c>
      <c r="AK46" s="232">
        <f>$AD46*VLOOKUP($AA46,'SKOR PPH'!$B$13:$D$21,3,FALSE)</f>
        <v>0</v>
      </c>
      <c r="AL46" s="232">
        <f>R46*VLOOKUP($AA46,'SKOR PPH'!$B$13:$D$21,3,FALSE)</f>
        <v>0</v>
      </c>
      <c r="AM46" s="232">
        <f>S46*VLOOKUP($AA46,'SKOR PPH'!$B$13:$D$21,3,FALSE)</f>
        <v>0</v>
      </c>
      <c r="AN46" s="232">
        <f>T46*VLOOKUP($AA46,'SKOR PPH'!$B$13:$D$21,3,FALSE)</f>
        <v>0</v>
      </c>
      <c r="AO46" s="232">
        <f>U46*VLOOKUP($AA46,'SKOR PPH'!$B$13:$D$21,3,FALSE)</f>
        <v>0</v>
      </c>
      <c r="AP46" s="232">
        <f>$AE46*VLOOKUP($AA46,'SKOR PPH'!$B$13:$D$21,3,FALSE)</f>
        <v>0</v>
      </c>
      <c r="AQ46" s="232">
        <f>W46*VLOOKUP($AA46,'SKOR PPH'!$B$13:$D$21,3,FALSE)</f>
        <v>0</v>
      </c>
      <c r="AR46" s="232">
        <f>X46*VLOOKUP($AA46,'SKOR PPH'!$B$13:$D$21,3,FALSE)</f>
        <v>0</v>
      </c>
      <c r="AS46" s="232">
        <f>Y46*VLOOKUP($AA46,'SKOR PPH'!$B$13:$D$21,3,FALSE)</f>
        <v>0</v>
      </c>
      <c r="AT46" s="232">
        <f>Z46*VLOOKUP($AA46,'SKOR PPH'!$B$13:$D$21,3,FALSE)</f>
        <v>0</v>
      </c>
      <c r="AU46" s="232">
        <f>$AF46*VLOOKUP($AA46,'SKOR PPH'!$B$13:$D$21,3,FALSE)</f>
        <v>0</v>
      </c>
    </row>
    <row r="47" spans="2:47" ht="15" customHeight="1" x14ac:dyDescent="0.2">
      <c r="B47" s="147" t="s">
        <v>27</v>
      </c>
      <c r="C47" s="148">
        <v>1000</v>
      </c>
      <c r="D47" s="149">
        <v>1200</v>
      </c>
      <c r="E47" s="243">
        <v>165</v>
      </c>
      <c r="F47" s="149">
        <v>53</v>
      </c>
      <c r="G47" s="261">
        <v>4</v>
      </c>
      <c r="H47" s="150" t="s">
        <v>200</v>
      </c>
      <c r="I47" s="315">
        <v>0</v>
      </c>
      <c r="J47" s="315">
        <v>0</v>
      </c>
      <c r="K47" s="315">
        <v>0</v>
      </c>
      <c r="L47" s="144">
        <f t="shared" si="39"/>
        <v>0</v>
      </c>
      <c r="M47" s="144">
        <f t="shared" si="40"/>
        <v>0</v>
      </c>
      <c r="N47" s="144">
        <f t="shared" si="41"/>
        <v>0</v>
      </c>
      <c r="O47" s="144">
        <f t="shared" si="42"/>
        <v>0</v>
      </c>
      <c r="P47" s="144">
        <f t="shared" si="43"/>
        <v>0</v>
      </c>
      <c r="Q47" s="144">
        <f t="shared" si="44"/>
        <v>0</v>
      </c>
      <c r="R47" s="144">
        <f t="shared" si="45"/>
        <v>0</v>
      </c>
      <c r="S47" s="144">
        <f t="shared" si="46"/>
        <v>0</v>
      </c>
      <c r="T47" s="144">
        <f t="shared" si="47"/>
        <v>0</v>
      </c>
      <c r="U47" s="144">
        <f t="shared" si="48"/>
        <v>0</v>
      </c>
      <c r="V47" s="338">
        <f t="shared" si="49"/>
        <v>0</v>
      </c>
      <c r="W47" s="338">
        <f t="shared" si="50"/>
        <v>0</v>
      </c>
      <c r="X47" s="338">
        <f t="shared" si="51"/>
        <v>0</v>
      </c>
      <c r="Y47" s="338">
        <f t="shared" si="52"/>
        <v>0</v>
      </c>
      <c r="Z47" s="338">
        <f t="shared" si="53"/>
        <v>0</v>
      </c>
      <c r="AA47" s="151">
        <v>3</v>
      </c>
      <c r="AB47" s="176">
        <v>13</v>
      </c>
      <c r="AC47" s="177">
        <v>1</v>
      </c>
      <c r="AD47" s="232">
        <f t="shared" si="56"/>
        <v>0</v>
      </c>
      <c r="AE47" s="232">
        <f t="shared" si="54"/>
        <v>0</v>
      </c>
      <c r="AF47" s="232">
        <f t="shared" si="55"/>
        <v>0</v>
      </c>
      <c r="AG47" s="232">
        <f>M47*VLOOKUP($AA47,'SKOR PPH'!$B$13:$D$21,3,FALSE)</f>
        <v>0</v>
      </c>
      <c r="AH47" s="232">
        <f>N47*VLOOKUP($AA47,'SKOR PPH'!$B$13:$D$21,3,FALSE)</f>
        <v>0</v>
      </c>
      <c r="AI47" s="232">
        <f>O47*VLOOKUP($AA47,'SKOR PPH'!$B$13:$D$21,3,FALSE)</f>
        <v>0</v>
      </c>
      <c r="AJ47" s="232">
        <f>P47*VLOOKUP($AA47,'SKOR PPH'!$B$13:$D$21,3,FALSE)</f>
        <v>0</v>
      </c>
      <c r="AK47" s="232">
        <f>$AD47*VLOOKUP($AA47,'SKOR PPH'!$B$13:$D$21,3,FALSE)</f>
        <v>0</v>
      </c>
      <c r="AL47" s="232">
        <f>R47*VLOOKUP($AA47,'SKOR PPH'!$B$13:$D$21,3,FALSE)</f>
        <v>0</v>
      </c>
      <c r="AM47" s="232">
        <f>S47*VLOOKUP($AA47,'SKOR PPH'!$B$13:$D$21,3,FALSE)</f>
        <v>0</v>
      </c>
      <c r="AN47" s="232">
        <f>T47*VLOOKUP($AA47,'SKOR PPH'!$B$13:$D$21,3,FALSE)</f>
        <v>0</v>
      </c>
      <c r="AO47" s="232">
        <f>U47*VLOOKUP($AA47,'SKOR PPH'!$B$13:$D$21,3,FALSE)</f>
        <v>0</v>
      </c>
      <c r="AP47" s="232">
        <f>$AE47*VLOOKUP($AA47,'SKOR PPH'!$B$13:$D$21,3,FALSE)</f>
        <v>0</v>
      </c>
      <c r="AQ47" s="232">
        <f>W47*VLOOKUP($AA47,'SKOR PPH'!$B$13:$D$21,3,FALSE)</f>
        <v>0</v>
      </c>
      <c r="AR47" s="232">
        <f>X47*VLOOKUP($AA47,'SKOR PPH'!$B$13:$D$21,3,FALSE)</f>
        <v>0</v>
      </c>
      <c r="AS47" s="232">
        <f>Y47*VLOOKUP($AA47,'SKOR PPH'!$B$13:$D$21,3,FALSE)</f>
        <v>0</v>
      </c>
      <c r="AT47" s="232">
        <f>Z47*VLOOKUP($AA47,'SKOR PPH'!$B$13:$D$21,3,FALSE)</f>
        <v>0</v>
      </c>
      <c r="AU47" s="232">
        <f>$AF47*VLOOKUP($AA47,'SKOR PPH'!$B$13:$D$21,3,FALSE)</f>
        <v>0</v>
      </c>
    </row>
    <row r="48" spans="2:47" ht="15" customHeight="1" x14ac:dyDescent="0.2">
      <c r="B48" s="153" t="s">
        <v>303</v>
      </c>
      <c r="C48" s="154">
        <v>1000</v>
      </c>
      <c r="D48" s="155">
        <v>904</v>
      </c>
      <c r="E48" s="244">
        <v>136</v>
      </c>
      <c r="F48" s="155">
        <v>36</v>
      </c>
      <c r="G48" s="262">
        <v>0</v>
      </c>
      <c r="H48" s="156" t="s">
        <v>200</v>
      </c>
      <c r="I48" s="311">
        <f>0.0100666502383615+0.00633110886652893</f>
        <v>1.6397759104890431E-2</v>
      </c>
      <c r="J48" s="311">
        <f>0.0138567315849964+0.206033559518861</f>
        <v>0.21989029110385738</v>
      </c>
      <c r="K48" s="311">
        <f>0.0239233818233579+0.21236466838539</f>
        <v>0.23628805020874791</v>
      </c>
      <c r="L48" s="144">
        <f t="shared" si="39"/>
        <v>2.3425370149843472</v>
      </c>
      <c r="M48" s="144">
        <f t="shared" si="40"/>
        <v>2.1176534615458498</v>
      </c>
      <c r="N48" s="144">
        <f t="shared" si="41"/>
        <v>0.31858503403787125</v>
      </c>
      <c r="O48" s="144">
        <f t="shared" si="42"/>
        <v>8.4331332539436504E-2</v>
      </c>
      <c r="P48" s="144">
        <f t="shared" si="43"/>
        <v>0</v>
      </c>
      <c r="Q48" s="144">
        <f t="shared" si="44"/>
        <v>31.412898729122482</v>
      </c>
      <c r="R48" s="144">
        <f t="shared" si="45"/>
        <v>28.397260451126726</v>
      </c>
      <c r="S48" s="144">
        <f t="shared" si="46"/>
        <v>4.2721542271606578</v>
      </c>
      <c r="T48" s="144">
        <f t="shared" si="47"/>
        <v>1.1308643542484094</v>
      </c>
      <c r="U48" s="144">
        <f t="shared" si="48"/>
        <v>0</v>
      </c>
      <c r="V48" s="338">
        <f t="shared" si="49"/>
        <v>33.75543574410684</v>
      </c>
      <c r="W48" s="338">
        <f t="shared" si="50"/>
        <v>30.51491391267259</v>
      </c>
      <c r="X48" s="338">
        <f t="shared" si="51"/>
        <v>4.5907392611985305</v>
      </c>
      <c r="Y48" s="338">
        <f t="shared" si="52"/>
        <v>1.2151956867878464</v>
      </c>
      <c r="Z48" s="338">
        <f t="shared" si="53"/>
        <v>0</v>
      </c>
      <c r="AA48" s="151">
        <v>3</v>
      </c>
      <c r="AB48" s="178">
        <v>13</v>
      </c>
      <c r="AC48" s="179">
        <v>1</v>
      </c>
      <c r="AD48" s="232">
        <f t="shared" si="56"/>
        <v>2.3425370149843472</v>
      </c>
      <c r="AE48" s="232">
        <f t="shared" si="54"/>
        <v>31.412898729122482</v>
      </c>
      <c r="AF48" s="232">
        <f t="shared" si="55"/>
        <v>33.75543574410684</v>
      </c>
      <c r="AG48" s="232">
        <f>M48*VLOOKUP($AA48,'SKOR PPH'!$B$13:$D$21,3,FALSE)</f>
        <v>2.2942657602387735</v>
      </c>
      <c r="AH48" s="232">
        <f>N48*VLOOKUP($AA48,'SKOR PPH'!$B$13:$D$21,3,FALSE)</f>
        <v>0.34515502587662966</v>
      </c>
      <c r="AI48" s="232">
        <f>O48*VLOOKUP($AA48,'SKOR PPH'!$B$13:$D$21,3,FALSE)</f>
        <v>9.1364565673225498E-2</v>
      </c>
      <c r="AJ48" s="232">
        <f>P48*VLOOKUP($AA48,'SKOR PPH'!$B$13:$D$21,3,FALSE)</f>
        <v>0</v>
      </c>
      <c r="AK48" s="232">
        <f>$AD48*VLOOKUP($AA48,'SKOR PPH'!$B$13:$D$21,3,FALSE)</f>
        <v>2.5379046020340414</v>
      </c>
      <c r="AL48" s="232">
        <f>R48*VLOOKUP($AA48,'SKOR PPH'!$B$13:$D$21,3,FALSE)</f>
        <v>30.765591972750695</v>
      </c>
      <c r="AM48" s="232">
        <f>S48*VLOOKUP($AA48,'SKOR PPH'!$B$13:$D$21,3,FALSE)</f>
        <v>4.6284518897058566</v>
      </c>
      <c r="AN48" s="232">
        <f>T48*VLOOKUP($AA48,'SKOR PPH'!$B$13:$D$21,3,FALSE)</f>
        <v>1.2251784413927267</v>
      </c>
      <c r="AO48" s="232">
        <f>U48*VLOOKUP($AA48,'SKOR PPH'!$B$13:$D$21,3,FALSE)</f>
        <v>0</v>
      </c>
      <c r="AP48" s="232">
        <f>$AE48*VLOOKUP($AA48,'SKOR PPH'!$B$13:$D$21,3,FALSE)</f>
        <v>34.032734483131293</v>
      </c>
      <c r="AQ48" s="232">
        <f>W48*VLOOKUP($AA48,'SKOR PPH'!$B$13:$D$21,3,FALSE)</f>
        <v>33.059857732989478</v>
      </c>
      <c r="AR48" s="232">
        <f>X48*VLOOKUP($AA48,'SKOR PPH'!$B$13:$D$21,3,FALSE)</f>
        <v>4.9736069155824874</v>
      </c>
      <c r="AS48" s="232">
        <f>Y48*VLOOKUP($AA48,'SKOR PPH'!$B$13:$D$21,3,FALSE)</f>
        <v>1.3165430070659527</v>
      </c>
      <c r="AT48" s="232">
        <f>Z48*VLOOKUP($AA48,'SKOR PPH'!$B$13:$D$21,3,FALSE)</f>
        <v>0</v>
      </c>
      <c r="AU48" s="232">
        <f>$AF48*VLOOKUP($AA48,'SKOR PPH'!$B$13:$D$21,3,FALSE)</f>
        <v>36.570639085165347</v>
      </c>
    </row>
    <row r="49" spans="2:47" ht="15" customHeight="1" x14ac:dyDescent="0.2">
      <c r="B49" s="193" t="s">
        <v>28</v>
      </c>
      <c r="C49" s="194"/>
      <c r="D49" s="195"/>
      <c r="E49" s="249"/>
      <c r="F49" s="195"/>
      <c r="G49" s="195"/>
      <c r="H49" s="268"/>
      <c r="I49" s="316"/>
      <c r="J49" s="316"/>
      <c r="K49" s="316"/>
      <c r="L49" s="327"/>
      <c r="M49" s="196"/>
      <c r="N49" s="196"/>
      <c r="O49" s="328"/>
      <c r="P49" s="197"/>
      <c r="Q49" s="327"/>
      <c r="R49" s="196"/>
      <c r="S49" s="196"/>
      <c r="T49" s="328"/>
      <c r="U49" s="197"/>
      <c r="V49" s="327"/>
      <c r="W49" s="196"/>
      <c r="X49" s="196"/>
      <c r="Y49" s="328"/>
      <c r="Z49" s="197"/>
      <c r="AA49" s="198"/>
      <c r="AB49" s="198"/>
      <c r="AC49" s="86"/>
      <c r="AD49" s="237"/>
      <c r="AE49" s="237"/>
      <c r="AF49" s="237"/>
      <c r="AG49" s="237"/>
      <c r="AH49" s="237"/>
      <c r="AI49" s="237"/>
      <c r="AJ49" s="237"/>
      <c r="AK49" s="237"/>
      <c r="AL49" s="237"/>
      <c r="AM49" s="237"/>
      <c r="AN49" s="237"/>
      <c r="AO49" s="237"/>
      <c r="AP49" s="237"/>
      <c r="AQ49" s="237"/>
      <c r="AR49" s="237"/>
      <c r="AS49" s="237"/>
      <c r="AT49" s="237"/>
      <c r="AU49" s="237"/>
    </row>
    <row r="50" spans="2:47" ht="15" customHeight="1" x14ac:dyDescent="0.2">
      <c r="B50" s="140" t="s">
        <v>29</v>
      </c>
      <c r="C50" s="141">
        <v>1000</v>
      </c>
      <c r="D50" s="142">
        <v>618.79999999999995</v>
      </c>
      <c r="E50" s="242">
        <v>142.80000000000001</v>
      </c>
      <c r="F50" s="142">
        <v>1.36</v>
      </c>
      <c r="G50" s="260">
        <v>0.68</v>
      </c>
      <c r="H50" s="143" t="s">
        <v>200</v>
      </c>
      <c r="I50" s="311">
        <v>0</v>
      </c>
      <c r="J50" s="311">
        <v>0</v>
      </c>
      <c r="K50" s="311">
        <v>0</v>
      </c>
      <c r="L50" s="144">
        <f t="shared" ref="L50:L54" si="57">$I50*C50/7</f>
        <v>0</v>
      </c>
      <c r="M50" s="144">
        <f t="shared" ref="M50:M54" si="58">$I50*D50/7</f>
        <v>0</v>
      </c>
      <c r="N50" s="144">
        <f t="shared" ref="N50:N54" si="59">$I50*E50/7</f>
        <v>0</v>
      </c>
      <c r="O50" s="144">
        <f t="shared" ref="O50:O54" si="60">$I50*F50/7</f>
        <v>0</v>
      </c>
      <c r="P50" s="144">
        <f t="shared" ref="P50:P54" si="61">$I50*G50/7</f>
        <v>0</v>
      </c>
      <c r="Q50" s="144">
        <f t="shared" ref="Q50:Q54" si="62">$J50*C50/7</f>
        <v>0</v>
      </c>
      <c r="R50" s="144">
        <f t="shared" ref="R50:R54" si="63">$J50*D50/7</f>
        <v>0</v>
      </c>
      <c r="S50" s="144">
        <f t="shared" ref="S50:S54" si="64">$J50*E50/7</f>
        <v>0</v>
      </c>
      <c r="T50" s="144">
        <f t="shared" ref="T50:T54" si="65">$J50*F50/7</f>
        <v>0</v>
      </c>
      <c r="U50" s="144">
        <f t="shared" ref="U50:U54" si="66">$J50*G50/7</f>
        <v>0</v>
      </c>
      <c r="V50" s="338">
        <f t="shared" ref="V50:V54" si="67">$K50*C50/7</f>
        <v>0</v>
      </c>
      <c r="W50" s="338">
        <f t="shared" ref="W50:W54" si="68">$K50*D50/7</f>
        <v>0</v>
      </c>
      <c r="X50" s="338">
        <f t="shared" ref="X50:X54" si="69">$K50*E50/7</f>
        <v>0</v>
      </c>
      <c r="Y50" s="338">
        <f t="shared" ref="Y50:Y54" si="70">$K50*F50/7</f>
        <v>0</v>
      </c>
      <c r="Z50" s="338">
        <f t="shared" ref="Z50:Z54" si="71">$K50*G50/7</f>
        <v>0</v>
      </c>
      <c r="AA50" s="199">
        <v>3</v>
      </c>
      <c r="AB50" s="200">
        <v>13</v>
      </c>
      <c r="AC50" s="175">
        <v>1</v>
      </c>
      <c r="AD50" s="232">
        <f t="shared" ref="AD50:AD54" si="72">$L50*$AC50</f>
        <v>0</v>
      </c>
      <c r="AE50" s="232">
        <f t="shared" si="54"/>
        <v>0</v>
      </c>
      <c r="AF50" s="232">
        <f t="shared" si="55"/>
        <v>0</v>
      </c>
      <c r="AG50" s="232">
        <f>M50*VLOOKUP($AA50,'SKOR PPH'!$B$13:$D$21,3,FALSE)</f>
        <v>0</v>
      </c>
      <c r="AH50" s="232">
        <f>N50*VLOOKUP($AA50,'SKOR PPH'!$B$13:$D$21,3,FALSE)</f>
        <v>0</v>
      </c>
      <c r="AI50" s="232">
        <f>O50*VLOOKUP($AA50,'SKOR PPH'!$B$13:$D$21,3,FALSE)</f>
        <v>0</v>
      </c>
      <c r="AJ50" s="232">
        <f>P50*VLOOKUP($AA50,'SKOR PPH'!$B$13:$D$21,3,FALSE)</f>
        <v>0</v>
      </c>
      <c r="AK50" s="232">
        <f>$AD50*VLOOKUP($AA50,'SKOR PPH'!$B$13:$D$21,3,FALSE)</f>
        <v>0</v>
      </c>
      <c r="AL50" s="232">
        <f>R50*VLOOKUP($AA50,'SKOR PPH'!$B$13:$D$21,3,FALSE)</f>
        <v>0</v>
      </c>
      <c r="AM50" s="232">
        <f>S50*VLOOKUP($AA50,'SKOR PPH'!$B$13:$D$21,3,FALSE)</f>
        <v>0</v>
      </c>
      <c r="AN50" s="232">
        <f>T50*VLOOKUP($AA50,'SKOR PPH'!$B$13:$D$21,3,FALSE)</f>
        <v>0</v>
      </c>
      <c r="AO50" s="232">
        <f>U50*VLOOKUP($AA50,'SKOR PPH'!$B$13:$D$21,3,FALSE)</f>
        <v>0</v>
      </c>
      <c r="AP50" s="232">
        <f>$AE50*VLOOKUP($AA50,'SKOR PPH'!$B$13:$D$21,3,FALSE)</f>
        <v>0</v>
      </c>
      <c r="AQ50" s="232">
        <f>W50*VLOOKUP($AA50,'SKOR PPH'!$B$13:$D$21,3,FALSE)</f>
        <v>0</v>
      </c>
      <c r="AR50" s="232">
        <f>X50*VLOOKUP($AA50,'SKOR PPH'!$B$13:$D$21,3,FALSE)</f>
        <v>0</v>
      </c>
      <c r="AS50" s="232">
        <f>Y50*VLOOKUP($AA50,'SKOR PPH'!$B$13:$D$21,3,FALSE)</f>
        <v>0</v>
      </c>
      <c r="AT50" s="232">
        <f>Z50*VLOOKUP($AA50,'SKOR PPH'!$B$13:$D$21,3,FALSE)</f>
        <v>0</v>
      </c>
      <c r="AU50" s="232">
        <f>$AF50*VLOOKUP($AA50,'SKOR PPH'!$B$13:$D$21,3,FALSE)</f>
        <v>0</v>
      </c>
    </row>
    <row r="51" spans="2:47" ht="15" customHeight="1" x14ac:dyDescent="0.2">
      <c r="B51" s="147" t="s">
        <v>30</v>
      </c>
      <c r="C51" s="148">
        <v>1000</v>
      </c>
      <c r="D51" s="149">
        <v>750</v>
      </c>
      <c r="E51" s="243">
        <v>161</v>
      </c>
      <c r="F51" s="149">
        <v>7</v>
      </c>
      <c r="G51" s="261">
        <v>1</v>
      </c>
      <c r="H51" s="150" t="s">
        <v>200</v>
      </c>
      <c r="I51" s="311">
        <v>2.0483518941114155E-3</v>
      </c>
      <c r="J51" s="311">
        <v>9.8076455180495185E-3</v>
      </c>
      <c r="K51" s="311">
        <v>1.1855997412160939E-2</v>
      </c>
      <c r="L51" s="144">
        <f t="shared" si="57"/>
        <v>0.29262169915877362</v>
      </c>
      <c r="M51" s="144">
        <f t="shared" si="58"/>
        <v>0.21946627436908023</v>
      </c>
      <c r="N51" s="144">
        <f t="shared" si="59"/>
        <v>4.711209356456255E-2</v>
      </c>
      <c r="O51" s="144">
        <f t="shared" si="60"/>
        <v>2.0483518941114155E-3</v>
      </c>
      <c r="P51" s="144">
        <f t="shared" si="61"/>
        <v>2.9262169915877364E-4</v>
      </c>
      <c r="Q51" s="144">
        <f t="shared" si="62"/>
        <v>1.401092216864217</v>
      </c>
      <c r="R51" s="144">
        <f t="shared" si="63"/>
        <v>1.0508191626481627</v>
      </c>
      <c r="S51" s="144">
        <f t="shared" si="64"/>
        <v>0.22557584691513893</v>
      </c>
      <c r="T51" s="144">
        <f t="shared" si="65"/>
        <v>9.8076455180495185E-3</v>
      </c>
      <c r="U51" s="144">
        <f t="shared" si="66"/>
        <v>1.401092216864217E-3</v>
      </c>
      <c r="V51" s="338">
        <f t="shared" si="67"/>
        <v>1.6937139160229913</v>
      </c>
      <c r="W51" s="338">
        <f t="shared" si="68"/>
        <v>1.2702854370172434</v>
      </c>
      <c r="X51" s="338">
        <f t="shared" si="69"/>
        <v>0.27268794047970163</v>
      </c>
      <c r="Y51" s="338">
        <f t="shared" si="70"/>
        <v>1.1855997412160939E-2</v>
      </c>
      <c r="Z51" s="338">
        <f t="shared" si="71"/>
        <v>1.6937139160229913E-3</v>
      </c>
      <c r="AA51" s="199">
        <v>3</v>
      </c>
      <c r="AB51" s="201">
        <v>13</v>
      </c>
      <c r="AC51" s="177">
        <v>1</v>
      </c>
      <c r="AD51" s="232">
        <f t="shared" si="72"/>
        <v>0.29262169915877362</v>
      </c>
      <c r="AE51" s="232">
        <f t="shared" si="54"/>
        <v>1.401092216864217</v>
      </c>
      <c r="AF51" s="232">
        <f t="shared" si="55"/>
        <v>1.6937139160229913</v>
      </c>
      <c r="AG51" s="232">
        <f>M51*VLOOKUP($AA51,'SKOR PPH'!$B$13:$D$21,3,FALSE)</f>
        <v>0.23776976165146149</v>
      </c>
      <c r="AH51" s="232">
        <f>N51*VLOOKUP($AA51,'SKOR PPH'!$B$13:$D$21,3,FALSE)</f>
        <v>5.1041242167847063E-2</v>
      </c>
      <c r="AI51" s="232">
        <f>O51*VLOOKUP($AA51,'SKOR PPH'!$B$13:$D$21,3,FALSE)</f>
        <v>2.2191844420803072E-3</v>
      </c>
      <c r="AJ51" s="232">
        <f>P51*VLOOKUP($AA51,'SKOR PPH'!$B$13:$D$21,3,FALSE)</f>
        <v>3.1702634886861535E-4</v>
      </c>
      <c r="AK51" s="232">
        <f>$AD51*VLOOKUP($AA51,'SKOR PPH'!$B$13:$D$21,3,FALSE)</f>
        <v>0.3170263488686153</v>
      </c>
      <c r="AL51" s="232">
        <f>R51*VLOOKUP($AA51,'SKOR PPH'!$B$13:$D$21,3,FALSE)</f>
        <v>1.1384574808130195</v>
      </c>
      <c r="AM51" s="232">
        <f>S51*VLOOKUP($AA51,'SKOR PPH'!$B$13:$D$21,3,FALSE)</f>
        <v>0.24438887254786151</v>
      </c>
      <c r="AN51" s="232">
        <f>T51*VLOOKUP($AA51,'SKOR PPH'!$B$13:$D$21,3,FALSE)</f>
        <v>1.0625603154254848E-2</v>
      </c>
      <c r="AO51" s="232">
        <f>U51*VLOOKUP($AA51,'SKOR PPH'!$B$13:$D$21,3,FALSE)</f>
        <v>1.5179433077506924E-3</v>
      </c>
      <c r="AP51" s="232">
        <f>$AE51*VLOOKUP($AA51,'SKOR PPH'!$B$13:$D$21,3,FALSE)</f>
        <v>1.5179433077506925</v>
      </c>
      <c r="AQ51" s="232">
        <f>W51*VLOOKUP($AA51,'SKOR PPH'!$B$13:$D$21,3,FALSE)</f>
        <v>1.3762272424644815</v>
      </c>
      <c r="AR51" s="232">
        <f>X51*VLOOKUP($AA51,'SKOR PPH'!$B$13:$D$21,3,FALSE)</f>
        <v>0.29543011471570874</v>
      </c>
      <c r="AS51" s="232">
        <f>Y51*VLOOKUP($AA51,'SKOR PPH'!$B$13:$D$21,3,FALSE)</f>
        <v>1.284478759633516E-2</v>
      </c>
      <c r="AT51" s="232">
        <f>Z51*VLOOKUP($AA51,'SKOR PPH'!$B$13:$D$21,3,FALSE)</f>
        <v>1.8349696566193087E-3</v>
      </c>
      <c r="AU51" s="232">
        <f>$AF51*VLOOKUP($AA51,'SKOR PPH'!$B$13:$D$21,3,FALSE)</f>
        <v>1.8349696566193086</v>
      </c>
    </row>
    <row r="52" spans="2:47" ht="15" customHeight="1" x14ac:dyDescent="0.2">
      <c r="B52" s="147" t="s">
        <v>31</v>
      </c>
      <c r="C52" s="148">
        <v>1000</v>
      </c>
      <c r="D52" s="149">
        <v>679.5</v>
      </c>
      <c r="E52" s="243">
        <v>62.1</v>
      </c>
      <c r="F52" s="149">
        <v>17.100000000000001</v>
      </c>
      <c r="G52" s="261">
        <v>63.5</v>
      </c>
      <c r="H52" s="150" t="s">
        <v>200</v>
      </c>
      <c r="I52" s="311">
        <v>0</v>
      </c>
      <c r="J52" s="311">
        <v>0</v>
      </c>
      <c r="K52" s="311">
        <v>0</v>
      </c>
      <c r="L52" s="144">
        <f t="shared" si="57"/>
        <v>0</v>
      </c>
      <c r="M52" s="144">
        <f t="shared" si="58"/>
        <v>0</v>
      </c>
      <c r="N52" s="144">
        <f t="shared" si="59"/>
        <v>0</v>
      </c>
      <c r="O52" s="144">
        <f t="shared" si="60"/>
        <v>0</v>
      </c>
      <c r="P52" s="144">
        <f t="shared" si="61"/>
        <v>0</v>
      </c>
      <c r="Q52" s="144">
        <f t="shared" si="62"/>
        <v>0</v>
      </c>
      <c r="R52" s="144">
        <f t="shared" si="63"/>
        <v>0</v>
      </c>
      <c r="S52" s="144">
        <f t="shared" si="64"/>
        <v>0</v>
      </c>
      <c r="T52" s="144">
        <f t="shared" si="65"/>
        <v>0</v>
      </c>
      <c r="U52" s="144">
        <f t="shared" si="66"/>
        <v>0</v>
      </c>
      <c r="V52" s="338">
        <f t="shared" si="67"/>
        <v>0</v>
      </c>
      <c r="W52" s="338">
        <f t="shared" si="68"/>
        <v>0</v>
      </c>
      <c r="X52" s="338">
        <f t="shared" si="69"/>
        <v>0</v>
      </c>
      <c r="Y52" s="338">
        <f t="shared" si="70"/>
        <v>0</v>
      </c>
      <c r="Z52" s="338">
        <f t="shared" si="71"/>
        <v>0</v>
      </c>
      <c r="AA52" s="199">
        <v>3</v>
      </c>
      <c r="AB52" s="201">
        <v>13</v>
      </c>
      <c r="AC52" s="177">
        <v>1</v>
      </c>
      <c r="AD52" s="232">
        <f t="shared" si="72"/>
        <v>0</v>
      </c>
      <c r="AE52" s="232">
        <f t="shared" si="54"/>
        <v>0</v>
      </c>
      <c r="AF52" s="232">
        <f t="shared" si="55"/>
        <v>0</v>
      </c>
      <c r="AG52" s="232">
        <f>M52*VLOOKUP($AA52,'SKOR PPH'!$B$13:$D$21,3,FALSE)</f>
        <v>0</v>
      </c>
      <c r="AH52" s="232">
        <f>N52*VLOOKUP($AA52,'SKOR PPH'!$B$13:$D$21,3,FALSE)</f>
        <v>0</v>
      </c>
      <c r="AI52" s="232">
        <f>O52*VLOOKUP($AA52,'SKOR PPH'!$B$13:$D$21,3,FALSE)</f>
        <v>0</v>
      </c>
      <c r="AJ52" s="232">
        <f>P52*VLOOKUP($AA52,'SKOR PPH'!$B$13:$D$21,3,FALSE)</f>
        <v>0</v>
      </c>
      <c r="AK52" s="232">
        <f>$AD52*VLOOKUP($AA52,'SKOR PPH'!$B$13:$D$21,3,FALSE)</f>
        <v>0</v>
      </c>
      <c r="AL52" s="232">
        <f>R52*VLOOKUP($AA52,'SKOR PPH'!$B$13:$D$21,3,FALSE)</f>
        <v>0</v>
      </c>
      <c r="AM52" s="232">
        <f>S52*VLOOKUP($AA52,'SKOR PPH'!$B$13:$D$21,3,FALSE)</f>
        <v>0</v>
      </c>
      <c r="AN52" s="232">
        <f>T52*VLOOKUP($AA52,'SKOR PPH'!$B$13:$D$21,3,FALSE)</f>
        <v>0</v>
      </c>
      <c r="AO52" s="232">
        <f>U52*VLOOKUP($AA52,'SKOR PPH'!$B$13:$D$21,3,FALSE)</f>
        <v>0</v>
      </c>
      <c r="AP52" s="232">
        <f>$AE52*VLOOKUP($AA52,'SKOR PPH'!$B$13:$D$21,3,FALSE)</f>
        <v>0</v>
      </c>
      <c r="AQ52" s="232">
        <f>W52*VLOOKUP($AA52,'SKOR PPH'!$B$13:$D$21,3,FALSE)</f>
        <v>0</v>
      </c>
      <c r="AR52" s="232">
        <f>X52*VLOOKUP($AA52,'SKOR PPH'!$B$13:$D$21,3,FALSE)</f>
        <v>0</v>
      </c>
      <c r="AS52" s="232">
        <f>Y52*VLOOKUP($AA52,'SKOR PPH'!$B$13:$D$21,3,FALSE)</f>
        <v>0</v>
      </c>
      <c r="AT52" s="232">
        <f>Z52*VLOOKUP($AA52,'SKOR PPH'!$B$13:$D$21,3,FALSE)</f>
        <v>0</v>
      </c>
      <c r="AU52" s="232">
        <f>$AF52*VLOOKUP($AA52,'SKOR PPH'!$B$13:$D$21,3,FALSE)</f>
        <v>0</v>
      </c>
    </row>
    <row r="53" spans="2:47" ht="15" customHeight="1" x14ac:dyDescent="0.2">
      <c r="B53" s="147" t="s">
        <v>32</v>
      </c>
      <c r="C53" s="148">
        <v>1000</v>
      </c>
      <c r="D53" s="149">
        <v>1010</v>
      </c>
      <c r="E53" s="243">
        <v>144</v>
      </c>
      <c r="F53" s="149">
        <v>26</v>
      </c>
      <c r="G53" s="261">
        <v>39</v>
      </c>
      <c r="H53" s="150" t="s">
        <v>200</v>
      </c>
      <c r="I53" s="311">
        <v>0</v>
      </c>
      <c r="J53" s="311">
        <v>0</v>
      </c>
      <c r="K53" s="311">
        <v>0</v>
      </c>
      <c r="L53" s="144">
        <f t="shared" si="57"/>
        <v>0</v>
      </c>
      <c r="M53" s="144">
        <f t="shared" si="58"/>
        <v>0</v>
      </c>
      <c r="N53" s="144">
        <f t="shared" si="59"/>
        <v>0</v>
      </c>
      <c r="O53" s="144">
        <f t="shared" si="60"/>
        <v>0</v>
      </c>
      <c r="P53" s="144">
        <f t="shared" si="61"/>
        <v>0</v>
      </c>
      <c r="Q53" s="144">
        <f t="shared" si="62"/>
        <v>0</v>
      </c>
      <c r="R53" s="144">
        <f t="shared" si="63"/>
        <v>0</v>
      </c>
      <c r="S53" s="144">
        <f t="shared" si="64"/>
        <v>0</v>
      </c>
      <c r="T53" s="144">
        <f t="shared" si="65"/>
        <v>0</v>
      </c>
      <c r="U53" s="144">
        <f t="shared" si="66"/>
        <v>0</v>
      </c>
      <c r="V53" s="338">
        <f t="shared" si="67"/>
        <v>0</v>
      </c>
      <c r="W53" s="338">
        <f t="shared" si="68"/>
        <v>0</v>
      </c>
      <c r="X53" s="338">
        <f t="shared" si="69"/>
        <v>0</v>
      </c>
      <c r="Y53" s="338">
        <f t="shared" si="70"/>
        <v>0</v>
      </c>
      <c r="Z53" s="338">
        <f t="shared" si="71"/>
        <v>0</v>
      </c>
      <c r="AA53" s="199">
        <v>3</v>
      </c>
      <c r="AB53" s="201">
        <v>13</v>
      </c>
      <c r="AC53" s="177">
        <v>1</v>
      </c>
      <c r="AD53" s="232">
        <f t="shared" si="72"/>
        <v>0</v>
      </c>
      <c r="AE53" s="232">
        <f t="shared" si="54"/>
        <v>0</v>
      </c>
      <c r="AF53" s="232">
        <f t="shared" si="55"/>
        <v>0</v>
      </c>
      <c r="AG53" s="232">
        <f>M53*VLOOKUP($AA53,'SKOR PPH'!$B$13:$D$21,3,FALSE)</f>
        <v>0</v>
      </c>
      <c r="AH53" s="232">
        <f>N53*VLOOKUP($AA53,'SKOR PPH'!$B$13:$D$21,3,FALSE)</f>
        <v>0</v>
      </c>
      <c r="AI53" s="232">
        <f>O53*VLOOKUP($AA53,'SKOR PPH'!$B$13:$D$21,3,FALSE)</f>
        <v>0</v>
      </c>
      <c r="AJ53" s="232">
        <f>P53*VLOOKUP($AA53,'SKOR PPH'!$B$13:$D$21,3,FALSE)</f>
        <v>0</v>
      </c>
      <c r="AK53" s="232">
        <f>$AD53*VLOOKUP($AA53,'SKOR PPH'!$B$13:$D$21,3,FALSE)</f>
        <v>0</v>
      </c>
      <c r="AL53" s="232">
        <f>R53*VLOOKUP($AA53,'SKOR PPH'!$B$13:$D$21,3,FALSE)</f>
        <v>0</v>
      </c>
      <c r="AM53" s="232">
        <f>S53*VLOOKUP($AA53,'SKOR PPH'!$B$13:$D$21,3,FALSE)</f>
        <v>0</v>
      </c>
      <c r="AN53" s="232">
        <f>T53*VLOOKUP($AA53,'SKOR PPH'!$B$13:$D$21,3,FALSE)</f>
        <v>0</v>
      </c>
      <c r="AO53" s="232">
        <f>U53*VLOOKUP($AA53,'SKOR PPH'!$B$13:$D$21,3,FALSE)</f>
        <v>0</v>
      </c>
      <c r="AP53" s="232">
        <f>$AE53*VLOOKUP($AA53,'SKOR PPH'!$B$13:$D$21,3,FALSE)</f>
        <v>0</v>
      </c>
      <c r="AQ53" s="232">
        <f>W53*VLOOKUP($AA53,'SKOR PPH'!$B$13:$D$21,3,FALSE)</f>
        <v>0</v>
      </c>
      <c r="AR53" s="232">
        <f>X53*VLOOKUP($AA53,'SKOR PPH'!$B$13:$D$21,3,FALSE)</f>
        <v>0</v>
      </c>
      <c r="AS53" s="232">
        <f>Y53*VLOOKUP($AA53,'SKOR PPH'!$B$13:$D$21,3,FALSE)</f>
        <v>0</v>
      </c>
      <c r="AT53" s="232">
        <f>Z53*VLOOKUP($AA53,'SKOR PPH'!$B$13:$D$21,3,FALSE)</f>
        <v>0</v>
      </c>
      <c r="AU53" s="232">
        <f>$AF53*VLOOKUP($AA53,'SKOR PPH'!$B$13:$D$21,3,FALSE)</f>
        <v>0</v>
      </c>
    </row>
    <row r="54" spans="2:47" ht="15" customHeight="1" x14ac:dyDescent="0.2">
      <c r="B54" s="153" t="s">
        <v>33</v>
      </c>
      <c r="C54" s="154">
        <v>1000</v>
      </c>
      <c r="D54" s="155">
        <v>552.20000000000005</v>
      </c>
      <c r="E54" s="244">
        <v>108.6</v>
      </c>
      <c r="F54" s="155">
        <v>8.3000000000000007</v>
      </c>
      <c r="G54" s="262">
        <v>8.1</v>
      </c>
      <c r="H54" s="156" t="s">
        <v>200</v>
      </c>
      <c r="I54" s="311">
        <v>0</v>
      </c>
      <c r="J54" s="311">
        <v>0</v>
      </c>
      <c r="K54" s="311">
        <v>0</v>
      </c>
      <c r="L54" s="144">
        <f t="shared" si="57"/>
        <v>0</v>
      </c>
      <c r="M54" s="144">
        <f t="shared" si="58"/>
        <v>0</v>
      </c>
      <c r="N54" s="144">
        <f t="shared" si="59"/>
        <v>0</v>
      </c>
      <c r="O54" s="144">
        <f t="shared" si="60"/>
        <v>0</v>
      </c>
      <c r="P54" s="144">
        <f t="shared" si="61"/>
        <v>0</v>
      </c>
      <c r="Q54" s="144">
        <f t="shared" si="62"/>
        <v>0</v>
      </c>
      <c r="R54" s="144">
        <f t="shared" si="63"/>
        <v>0</v>
      </c>
      <c r="S54" s="144">
        <f t="shared" si="64"/>
        <v>0</v>
      </c>
      <c r="T54" s="144">
        <f t="shared" si="65"/>
        <v>0</v>
      </c>
      <c r="U54" s="144">
        <f t="shared" si="66"/>
        <v>0</v>
      </c>
      <c r="V54" s="338">
        <f t="shared" si="67"/>
        <v>0</v>
      </c>
      <c r="W54" s="338">
        <f t="shared" si="68"/>
        <v>0</v>
      </c>
      <c r="X54" s="338">
        <f t="shared" si="69"/>
        <v>0</v>
      </c>
      <c r="Y54" s="338">
        <f t="shared" si="70"/>
        <v>0</v>
      </c>
      <c r="Z54" s="338">
        <f t="shared" si="71"/>
        <v>0</v>
      </c>
      <c r="AA54" s="199">
        <v>3</v>
      </c>
      <c r="AB54" s="202">
        <v>13</v>
      </c>
      <c r="AC54" s="179">
        <v>1</v>
      </c>
      <c r="AD54" s="232">
        <f t="shared" si="72"/>
        <v>0</v>
      </c>
      <c r="AE54" s="232">
        <f t="shared" si="54"/>
        <v>0</v>
      </c>
      <c r="AF54" s="232">
        <f t="shared" si="55"/>
        <v>0</v>
      </c>
      <c r="AG54" s="232">
        <f>M54*VLOOKUP($AA54,'SKOR PPH'!$B$13:$D$21,3,FALSE)</f>
        <v>0</v>
      </c>
      <c r="AH54" s="232">
        <f>N54*VLOOKUP($AA54,'SKOR PPH'!$B$13:$D$21,3,FALSE)</f>
        <v>0</v>
      </c>
      <c r="AI54" s="232">
        <f>O54*VLOOKUP($AA54,'SKOR PPH'!$B$13:$D$21,3,FALSE)</f>
        <v>0</v>
      </c>
      <c r="AJ54" s="232">
        <f>P54*VLOOKUP($AA54,'SKOR PPH'!$B$13:$D$21,3,FALSE)</f>
        <v>0</v>
      </c>
      <c r="AK54" s="232">
        <f>$AD54*VLOOKUP($AA54,'SKOR PPH'!$B$13:$D$21,3,FALSE)</f>
        <v>0</v>
      </c>
      <c r="AL54" s="232">
        <f>R54*VLOOKUP($AA54,'SKOR PPH'!$B$13:$D$21,3,FALSE)</f>
        <v>0</v>
      </c>
      <c r="AM54" s="232">
        <f>S54*VLOOKUP($AA54,'SKOR PPH'!$B$13:$D$21,3,FALSE)</f>
        <v>0</v>
      </c>
      <c r="AN54" s="232">
        <f>T54*VLOOKUP($AA54,'SKOR PPH'!$B$13:$D$21,3,FALSE)</f>
        <v>0</v>
      </c>
      <c r="AO54" s="232">
        <f>U54*VLOOKUP($AA54,'SKOR PPH'!$B$13:$D$21,3,FALSE)</f>
        <v>0</v>
      </c>
      <c r="AP54" s="232">
        <f>$AE54*VLOOKUP($AA54,'SKOR PPH'!$B$13:$D$21,3,FALSE)</f>
        <v>0</v>
      </c>
      <c r="AQ54" s="232">
        <f>W54*VLOOKUP($AA54,'SKOR PPH'!$B$13:$D$21,3,FALSE)</f>
        <v>0</v>
      </c>
      <c r="AR54" s="232">
        <f>X54*VLOOKUP($AA54,'SKOR PPH'!$B$13:$D$21,3,FALSE)</f>
        <v>0</v>
      </c>
      <c r="AS54" s="232">
        <f>Y54*VLOOKUP($AA54,'SKOR PPH'!$B$13:$D$21,3,FALSE)</f>
        <v>0</v>
      </c>
      <c r="AT54" s="232">
        <f>Z54*VLOOKUP($AA54,'SKOR PPH'!$B$13:$D$21,3,FALSE)</f>
        <v>0</v>
      </c>
      <c r="AU54" s="232">
        <f>$AF54*VLOOKUP($AA54,'SKOR PPH'!$B$13:$D$21,3,FALSE)</f>
        <v>0</v>
      </c>
    </row>
    <row r="55" spans="2:47" ht="15" customHeight="1" x14ac:dyDescent="0.2">
      <c r="B55" s="203" t="s">
        <v>34</v>
      </c>
      <c r="C55" s="194"/>
      <c r="D55" s="195"/>
      <c r="E55" s="249"/>
      <c r="F55" s="195"/>
      <c r="G55" s="195"/>
      <c r="H55" s="268"/>
      <c r="I55" s="316"/>
      <c r="J55" s="316"/>
      <c r="K55" s="316"/>
      <c r="L55" s="327"/>
      <c r="M55" s="196"/>
      <c r="N55" s="196"/>
      <c r="O55" s="328"/>
      <c r="P55" s="197"/>
      <c r="Q55" s="327"/>
      <c r="R55" s="196"/>
      <c r="S55" s="196"/>
      <c r="T55" s="328"/>
      <c r="U55" s="197"/>
      <c r="V55" s="327"/>
      <c r="W55" s="196"/>
      <c r="X55" s="196"/>
      <c r="Y55" s="328"/>
      <c r="Z55" s="197"/>
      <c r="AA55" s="199"/>
      <c r="AB55" s="198"/>
      <c r="AC55" s="86"/>
      <c r="AD55" s="237"/>
      <c r="AE55" s="237"/>
      <c r="AF55" s="237"/>
      <c r="AG55" s="237"/>
      <c r="AH55" s="237"/>
      <c r="AI55" s="237"/>
      <c r="AJ55" s="237"/>
      <c r="AK55" s="237"/>
      <c r="AL55" s="237"/>
      <c r="AM55" s="237"/>
      <c r="AN55" s="237"/>
      <c r="AO55" s="237"/>
      <c r="AP55" s="237"/>
      <c r="AQ55" s="237"/>
      <c r="AR55" s="237"/>
      <c r="AS55" s="237"/>
      <c r="AT55" s="237"/>
      <c r="AU55" s="237"/>
    </row>
    <row r="56" spans="2:47" ht="15" customHeight="1" x14ac:dyDescent="0.2">
      <c r="B56" s="140" t="s">
        <v>35</v>
      </c>
      <c r="C56" s="141">
        <v>100</v>
      </c>
      <c r="D56" s="142">
        <v>140.4</v>
      </c>
      <c r="E56" s="242">
        <v>25.2</v>
      </c>
      <c r="F56" s="142">
        <v>3.6</v>
      </c>
      <c r="G56" s="260">
        <v>0</v>
      </c>
      <c r="H56" s="143" t="s">
        <v>36</v>
      </c>
      <c r="I56" s="311">
        <v>0</v>
      </c>
      <c r="J56" s="311">
        <v>0</v>
      </c>
      <c r="K56" s="311">
        <v>0</v>
      </c>
      <c r="L56" s="144">
        <f t="shared" ref="L56:L65" si="73">$I56*C56/7</f>
        <v>0</v>
      </c>
      <c r="M56" s="144">
        <f t="shared" ref="M56:M65" si="74">$I56*D56/7</f>
        <v>0</v>
      </c>
      <c r="N56" s="144">
        <f t="shared" ref="N56:N65" si="75">$I56*E56/7</f>
        <v>0</v>
      </c>
      <c r="O56" s="144">
        <f t="shared" ref="O56:O65" si="76">$I56*F56/7</f>
        <v>0</v>
      </c>
      <c r="P56" s="144">
        <f t="shared" ref="P56:P65" si="77">$I56*G56/7</f>
        <v>0</v>
      </c>
      <c r="Q56" s="144">
        <f t="shared" ref="Q56:Q65" si="78">$J56*C56/7</f>
        <v>0</v>
      </c>
      <c r="R56" s="144">
        <f t="shared" ref="R56:R65" si="79">$J56*D56/7</f>
        <v>0</v>
      </c>
      <c r="S56" s="144">
        <f t="shared" ref="S56:S65" si="80">$J56*E56/7</f>
        <v>0</v>
      </c>
      <c r="T56" s="144">
        <f t="shared" ref="T56:T65" si="81">$J56*F56/7</f>
        <v>0</v>
      </c>
      <c r="U56" s="144">
        <f t="shared" ref="U56:U65" si="82">$J56*G56/7</f>
        <v>0</v>
      </c>
      <c r="V56" s="338">
        <f t="shared" ref="V56:V65" si="83">$K56*C56/7</f>
        <v>0</v>
      </c>
      <c r="W56" s="338">
        <f t="shared" ref="W56:W65" si="84">$K56*D56/7</f>
        <v>0</v>
      </c>
      <c r="X56" s="338">
        <f t="shared" ref="X56:X65" si="85">$K56*E56/7</f>
        <v>0</v>
      </c>
      <c r="Y56" s="338">
        <f t="shared" ref="Y56:Y65" si="86">$K56*F56/7</f>
        <v>0</v>
      </c>
      <c r="Z56" s="338">
        <f t="shared" ref="Z56:Z65" si="87">$K56*G56/7</f>
        <v>0</v>
      </c>
      <c r="AA56" s="199">
        <v>3</v>
      </c>
      <c r="AB56" s="200">
        <v>13</v>
      </c>
      <c r="AC56" s="239">
        <v>1.538</v>
      </c>
      <c r="AD56" s="232">
        <f t="shared" ref="AD56:AD65" si="88">$L56*$AC56</f>
        <v>0</v>
      </c>
      <c r="AE56" s="232">
        <f t="shared" si="54"/>
        <v>0</v>
      </c>
      <c r="AF56" s="232">
        <f t="shared" si="55"/>
        <v>0</v>
      </c>
      <c r="AG56" s="232">
        <f>M56*VLOOKUP($AA56,'SKOR PPH'!$B$13:$D$21,3,FALSE)</f>
        <v>0</v>
      </c>
      <c r="AH56" s="232">
        <f>N56*VLOOKUP($AA56,'SKOR PPH'!$B$13:$D$21,3,FALSE)</f>
        <v>0</v>
      </c>
      <c r="AI56" s="232">
        <f>O56*VLOOKUP($AA56,'SKOR PPH'!$B$13:$D$21,3,FALSE)</f>
        <v>0</v>
      </c>
      <c r="AJ56" s="232">
        <f>P56*VLOOKUP($AA56,'SKOR PPH'!$B$13:$D$21,3,FALSE)</f>
        <v>0</v>
      </c>
      <c r="AK56" s="232">
        <f>$AD56*VLOOKUP($AA56,'SKOR PPH'!$B$13:$D$21,3,FALSE)</f>
        <v>0</v>
      </c>
      <c r="AL56" s="232">
        <f>R56*VLOOKUP($AA56,'SKOR PPH'!$B$13:$D$21,3,FALSE)</f>
        <v>0</v>
      </c>
      <c r="AM56" s="232">
        <f>S56*VLOOKUP($AA56,'SKOR PPH'!$B$13:$D$21,3,FALSE)</f>
        <v>0</v>
      </c>
      <c r="AN56" s="232">
        <f>T56*VLOOKUP($AA56,'SKOR PPH'!$B$13:$D$21,3,FALSE)</f>
        <v>0</v>
      </c>
      <c r="AO56" s="232">
        <f>U56*VLOOKUP($AA56,'SKOR PPH'!$B$13:$D$21,3,FALSE)</f>
        <v>0</v>
      </c>
      <c r="AP56" s="232">
        <f>$AE56*VLOOKUP($AA56,'SKOR PPH'!$B$13:$D$21,3,FALSE)</f>
        <v>0</v>
      </c>
      <c r="AQ56" s="232">
        <f>W56*VLOOKUP($AA56,'SKOR PPH'!$B$13:$D$21,3,FALSE)</f>
        <v>0</v>
      </c>
      <c r="AR56" s="232">
        <f>X56*VLOOKUP($AA56,'SKOR PPH'!$B$13:$D$21,3,FALSE)</f>
        <v>0</v>
      </c>
      <c r="AS56" s="232">
        <f>Y56*VLOOKUP($AA56,'SKOR PPH'!$B$13:$D$21,3,FALSE)</f>
        <v>0</v>
      </c>
      <c r="AT56" s="232">
        <f>Z56*VLOOKUP($AA56,'SKOR PPH'!$B$13:$D$21,3,FALSE)</f>
        <v>0</v>
      </c>
      <c r="AU56" s="232">
        <f>$AF56*VLOOKUP($AA56,'SKOR PPH'!$B$13:$D$21,3,FALSE)</f>
        <v>0</v>
      </c>
    </row>
    <row r="57" spans="2:47" ht="15" customHeight="1" x14ac:dyDescent="0.2">
      <c r="B57" s="147" t="s">
        <v>17</v>
      </c>
      <c r="C57" s="148">
        <v>100</v>
      </c>
      <c r="D57" s="149">
        <v>135.1</v>
      </c>
      <c r="E57" s="243">
        <v>29.4</v>
      </c>
      <c r="F57" s="149">
        <v>1.05</v>
      </c>
      <c r="G57" s="261">
        <v>0</v>
      </c>
      <c r="H57" s="150" t="s">
        <v>36</v>
      </c>
      <c r="I57" s="311">
        <v>0</v>
      </c>
      <c r="J57" s="311">
        <v>0</v>
      </c>
      <c r="K57" s="311">
        <v>0</v>
      </c>
      <c r="L57" s="144">
        <f t="shared" si="73"/>
        <v>0</v>
      </c>
      <c r="M57" s="144">
        <f t="shared" si="74"/>
        <v>0</v>
      </c>
      <c r="N57" s="144">
        <f t="shared" si="75"/>
        <v>0</v>
      </c>
      <c r="O57" s="144">
        <f t="shared" si="76"/>
        <v>0</v>
      </c>
      <c r="P57" s="144">
        <f t="shared" si="77"/>
        <v>0</v>
      </c>
      <c r="Q57" s="144">
        <f t="shared" si="78"/>
        <v>0</v>
      </c>
      <c r="R57" s="144">
        <f t="shared" si="79"/>
        <v>0</v>
      </c>
      <c r="S57" s="144">
        <f t="shared" si="80"/>
        <v>0</v>
      </c>
      <c r="T57" s="144">
        <f t="shared" si="81"/>
        <v>0</v>
      </c>
      <c r="U57" s="144">
        <f t="shared" si="82"/>
        <v>0</v>
      </c>
      <c r="V57" s="338">
        <f t="shared" si="83"/>
        <v>0</v>
      </c>
      <c r="W57" s="338">
        <f t="shared" si="84"/>
        <v>0</v>
      </c>
      <c r="X57" s="338">
        <f t="shared" si="85"/>
        <v>0</v>
      </c>
      <c r="Y57" s="338">
        <f t="shared" si="86"/>
        <v>0</v>
      </c>
      <c r="Z57" s="338">
        <f t="shared" si="87"/>
        <v>0</v>
      </c>
      <c r="AA57" s="199">
        <v>3</v>
      </c>
      <c r="AB57" s="201">
        <v>13</v>
      </c>
      <c r="AC57" s="240">
        <v>1.538</v>
      </c>
      <c r="AD57" s="232">
        <f t="shared" si="88"/>
        <v>0</v>
      </c>
      <c r="AE57" s="232">
        <f t="shared" si="54"/>
        <v>0</v>
      </c>
      <c r="AF57" s="232">
        <f t="shared" si="55"/>
        <v>0</v>
      </c>
      <c r="AG57" s="232">
        <f>M57*VLOOKUP($AA57,'SKOR PPH'!$B$13:$D$21,3,FALSE)</f>
        <v>0</v>
      </c>
      <c r="AH57" s="232">
        <f>N57*VLOOKUP($AA57,'SKOR PPH'!$B$13:$D$21,3,FALSE)</f>
        <v>0</v>
      </c>
      <c r="AI57" s="232">
        <f>O57*VLOOKUP($AA57,'SKOR PPH'!$B$13:$D$21,3,FALSE)</f>
        <v>0</v>
      </c>
      <c r="AJ57" s="232">
        <f>P57*VLOOKUP($AA57,'SKOR PPH'!$B$13:$D$21,3,FALSE)</f>
        <v>0</v>
      </c>
      <c r="AK57" s="232">
        <f>$AD57*VLOOKUP($AA57,'SKOR PPH'!$B$13:$D$21,3,FALSE)</f>
        <v>0</v>
      </c>
      <c r="AL57" s="232">
        <f>R57*VLOOKUP($AA57,'SKOR PPH'!$B$13:$D$21,3,FALSE)</f>
        <v>0</v>
      </c>
      <c r="AM57" s="232">
        <f>S57*VLOOKUP($AA57,'SKOR PPH'!$B$13:$D$21,3,FALSE)</f>
        <v>0</v>
      </c>
      <c r="AN57" s="232">
        <f>T57*VLOOKUP($AA57,'SKOR PPH'!$B$13:$D$21,3,FALSE)</f>
        <v>0</v>
      </c>
      <c r="AO57" s="232">
        <f>U57*VLOOKUP($AA57,'SKOR PPH'!$B$13:$D$21,3,FALSE)</f>
        <v>0</v>
      </c>
      <c r="AP57" s="232">
        <f>$AE57*VLOOKUP($AA57,'SKOR PPH'!$B$13:$D$21,3,FALSE)</f>
        <v>0</v>
      </c>
      <c r="AQ57" s="232">
        <f>W57*VLOOKUP($AA57,'SKOR PPH'!$B$13:$D$21,3,FALSE)</f>
        <v>0</v>
      </c>
      <c r="AR57" s="232">
        <f>X57*VLOOKUP($AA57,'SKOR PPH'!$B$13:$D$21,3,FALSE)</f>
        <v>0</v>
      </c>
      <c r="AS57" s="232">
        <f>Y57*VLOOKUP($AA57,'SKOR PPH'!$B$13:$D$21,3,FALSE)</f>
        <v>0</v>
      </c>
      <c r="AT57" s="232">
        <f>Z57*VLOOKUP($AA57,'SKOR PPH'!$B$13:$D$21,3,FALSE)</f>
        <v>0</v>
      </c>
      <c r="AU57" s="232">
        <f>$AF57*VLOOKUP($AA57,'SKOR PPH'!$B$13:$D$21,3,FALSE)</f>
        <v>0</v>
      </c>
    </row>
    <row r="58" spans="2:47" ht="15" customHeight="1" x14ac:dyDescent="0.2">
      <c r="B58" s="147" t="s">
        <v>16</v>
      </c>
      <c r="C58" s="148">
        <v>100</v>
      </c>
      <c r="D58" s="149">
        <v>138.6</v>
      </c>
      <c r="E58" s="243">
        <v>25.55</v>
      </c>
      <c r="F58" s="149">
        <v>1.54</v>
      </c>
      <c r="G58" s="261">
        <v>3.85</v>
      </c>
      <c r="H58" s="150" t="s">
        <v>36</v>
      </c>
      <c r="I58" s="311">
        <v>0</v>
      </c>
      <c r="J58" s="311">
        <v>0</v>
      </c>
      <c r="K58" s="311">
        <v>0</v>
      </c>
      <c r="L58" s="144">
        <f t="shared" si="73"/>
        <v>0</v>
      </c>
      <c r="M58" s="144">
        <f t="shared" si="74"/>
        <v>0</v>
      </c>
      <c r="N58" s="144">
        <f t="shared" si="75"/>
        <v>0</v>
      </c>
      <c r="O58" s="144">
        <f t="shared" si="76"/>
        <v>0</v>
      </c>
      <c r="P58" s="144">
        <f t="shared" si="77"/>
        <v>0</v>
      </c>
      <c r="Q58" s="144">
        <f t="shared" si="78"/>
        <v>0</v>
      </c>
      <c r="R58" s="144">
        <f t="shared" si="79"/>
        <v>0</v>
      </c>
      <c r="S58" s="144">
        <f t="shared" si="80"/>
        <v>0</v>
      </c>
      <c r="T58" s="144">
        <f t="shared" si="81"/>
        <v>0</v>
      </c>
      <c r="U58" s="144">
        <f t="shared" si="82"/>
        <v>0</v>
      </c>
      <c r="V58" s="338">
        <f t="shared" si="83"/>
        <v>0</v>
      </c>
      <c r="W58" s="338">
        <f t="shared" si="84"/>
        <v>0</v>
      </c>
      <c r="X58" s="338">
        <f t="shared" si="85"/>
        <v>0</v>
      </c>
      <c r="Y58" s="338">
        <f t="shared" si="86"/>
        <v>0</v>
      </c>
      <c r="Z58" s="338">
        <f t="shared" si="87"/>
        <v>0</v>
      </c>
      <c r="AA58" s="199">
        <v>3</v>
      </c>
      <c r="AB58" s="201">
        <v>13</v>
      </c>
      <c r="AC58" s="240">
        <v>1.538</v>
      </c>
      <c r="AD58" s="232">
        <f t="shared" si="88"/>
        <v>0</v>
      </c>
      <c r="AE58" s="232">
        <f t="shared" si="54"/>
        <v>0</v>
      </c>
      <c r="AF58" s="232">
        <f t="shared" si="55"/>
        <v>0</v>
      </c>
      <c r="AG58" s="232">
        <f>M58*VLOOKUP($AA58,'SKOR PPH'!$B$13:$D$21,3,FALSE)</f>
        <v>0</v>
      </c>
      <c r="AH58" s="232">
        <f>N58*VLOOKUP($AA58,'SKOR PPH'!$B$13:$D$21,3,FALSE)</f>
        <v>0</v>
      </c>
      <c r="AI58" s="232">
        <f>O58*VLOOKUP($AA58,'SKOR PPH'!$B$13:$D$21,3,FALSE)</f>
        <v>0</v>
      </c>
      <c r="AJ58" s="232">
        <f>P58*VLOOKUP($AA58,'SKOR PPH'!$B$13:$D$21,3,FALSE)</f>
        <v>0</v>
      </c>
      <c r="AK58" s="232">
        <f>$AD58*VLOOKUP($AA58,'SKOR PPH'!$B$13:$D$21,3,FALSE)</f>
        <v>0</v>
      </c>
      <c r="AL58" s="232">
        <f>R58*VLOOKUP($AA58,'SKOR PPH'!$B$13:$D$21,3,FALSE)</f>
        <v>0</v>
      </c>
      <c r="AM58" s="232">
        <f>S58*VLOOKUP($AA58,'SKOR PPH'!$B$13:$D$21,3,FALSE)</f>
        <v>0</v>
      </c>
      <c r="AN58" s="232">
        <f>T58*VLOOKUP($AA58,'SKOR PPH'!$B$13:$D$21,3,FALSE)</f>
        <v>0</v>
      </c>
      <c r="AO58" s="232">
        <f>U58*VLOOKUP($AA58,'SKOR PPH'!$B$13:$D$21,3,FALSE)</f>
        <v>0</v>
      </c>
      <c r="AP58" s="232">
        <f>$AE58*VLOOKUP($AA58,'SKOR PPH'!$B$13:$D$21,3,FALSE)</f>
        <v>0</v>
      </c>
      <c r="AQ58" s="232">
        <f>W58*VLOOKUP($AA58,'SKOR PPH'!$B$13:$D$21,3,FALSE)</f>
        <v>0</v>
      </c>
      <c r="AR58" s="232">
        <f>X58*VLOOKUP($AA58,'SKOR PPH'!$B$13:$D$21,3,FALSE)</f>
        <v>0</v>
      </c>
      <c r="AS58" s="232">
        <f>Y58*VLOOKUP($AA58,'SKOR PPH'!$B$13:$D$21,3,FALSE)</f>
        <v>0</v>
      </c>
      <c r="AT58" s="232">
        <f>Z58*VLOOKUP($AA58,'SKOR PPH'!$B$13:$D$21,3,FALSE)</f>
        <v>0</v>
      </c>
      <c r="AU58" s="232">
        <f>$AF58*VLOOKUP($AA58,'SKOR PPH'!$B$13:$D$21,3,FALSE)</f>
        <v>0</v>
      </c>
    </row>
    <row r="59" spans="2:47" ht="15" customHeight="1" x14ac:dyDescent="0.2">
      <c r="B59" s="147" t="s">
        <v>20</v>
      </c>
      <c r="C59" s="148">
        <v>100</v>
      </c>
      <c r="D59" s="149">
        <v>230.5</v>
      </c>
      <c r="E59" s="243">
        <v>48.65</v>
      </c>
      <c r="F59" s="149">
        <v>2.52</v>
      </c>
      <c r="G59" s="261">
        <v>0.45</v>
      </c>
      <c r="H59" s="150" t="s">
        <v>36</v>
      </c>
      <c r="I59" s="311">
        <v>0</v>
      </c>
      <c r="J59" s="311">
        <v>0</v>
      </c>
      <c r="K59" s="311">
        <v>0</v>
      </c>
      <c r="L59" s="144">
        <f t="shared" si="73"/>
        <v>0</v>
      </c>
      <c r="M59" s="144">
        <f t="shared" si="74"/>
        <v>0</v>
      </c>
      <c r="N59" s="144">
        <f t="shared" si="75"/>
        <v>0</v>
      </c>
      <c r="O59" s="144">
        <f t="shared" si="76"/>
        <v>0</v>
      </c>
      <c r="P59" s="144">
        <f t="shared" si="77"/>
        <v>0</v>
      </c>
      <c r="Q59" s="144">
        <f t="shared" si="78"/>
        <v>0</v>
      </c>
      <c r="R59" s="144">
        <f t="shared" si="79"/>
        <v>0</v>
      </c>
      <c r="S59" s="144">
        <f t="shared" si="80"/>
        <v>0</v>
      </c>
      <c r="T59" s="144">
        <f t="shared" si="81"/>
        <v>0</v>
      </c>
      <c r="U59" s="144">
        <f t="shared" si="82"/>
        <v>0</v>
      </c>
      <c r="V59" s="338">
        <f t="shared" si="83"/>
        <v>0</v>
      </c>
      <c r="W59" s="338">
        <f t="shared" si="84"/>
        <v>0</v>
      </c>
      <c r="X59" s="338">
        <f t="shared" si="85"/>
        <v>0</v>
      </c>
      <c r="Y59" s="338">
        <f t="shared" si="86"/>
        <v>0</v>
      </c>
      <c r="Z59" s="338">
        <f t="shared" si="87"/>
        <v>0</v>
      </c>
      <c r="AA59" s="199">
        <v>3</v>
      </c>
      <c r="AB59" s="201">
        <v>13</v>
      </c>
      <c r="AC59" s="240">
        <v>1.538</v>
      </c>
      <c r="AD59" s="232">
        <f t="shared" si="88"/>
        <v>0</v>
      </c>
      <c r="AE59" s="232">
        <f t="shared" si="54"/>
        <v>0</v>
      </c>
      <c r="AF59" s="232">
        <f t="shared" si="55"/>
        <v>0</v>
      </c>
      <c r="AG59" s="232">
        <f>M59*VLOOKUP($AA59,'SKOR PPH'!$B$13:$D$21,3,FALSE)</f>
        <v>0</v>
      </c>
      <c r="AH59" s="232">
        <f>N59*VLOOKUP($AA59,'SKOR PPH'!$B$13:$D$21,3,FALSE)</f>
        <v>0</v>
      </c>
      <c r="AI59" s="232">
        <f>O59*VLOOKUP($AA59,'SKOR PPH'!$B$13:$D$21,3,FALSE)</f>
        <v>0</v>
      </c>
      <c r="AJ59" s="232">
        <f>P59*VLOOKUP($AA59,'SKOR PPH'!$B$13:$D$21,3,FALSE)</f>
        <v>0</v>
      </c>
      <c r="AK59" s="232">
        <f>$AD59*VLOOKUP($AA59,'SKOR PPH'!$B$13:$D$21,3,FALSE)</f>
        <v>0</v>
      </c>
      <c r="AL59" s="232">
        <f>R59*VLOOKUP($AA59,'SKOR PPH'!$B$13:$D$21,3,FALSE)</f>
        <v>0</v>
      </c>
      <c r="AM59" s="232">
        <f>S59*VLOOKUP($AA59,'SKOR PPH'!$B$13:$D$21,3,FALSE)</f>
        <v>0</v>
      </c>
      <c r="AN59" s="232">
        <f>T59*VLOOKUP($AA59,'SKOR PPH'!$B$13:$D$21,3,FALSE)</f>
        <v>0</v>
      </c>
      <c r="AO59" s="232">
        <f>U59*VLOOKUP($AA59,'SKOR PPH'!$B$13:$D$21,3,FALSE)</f>
        <v>0</v>
      </c>
      <c r="AP59" s="232">
        <f>$AE59*VLOOKUP($AA59,'SKOR PPH'!$B$13:$D$21,3,FALSE)</f>
        <v>0</v>
      </c>
      <c r="AQ59" s="232">
        <f>W59*VLOOKUP($AA59,'SKOR PPH'!$B$13:$D$21,3,FALSE)</f>
        <v>0</v>
      </c>
      <c r="AR59" s="232">
        <f>X59*VLOOKUP($AA59,'SKOR PPH'!$B$13:$D$21,3,FALSE)</f>
        <v>0</v>
      </c>
      <c r="AS59" s="232">
        <f>Y59*VLOOKUP($AA59,'SKOR PPH'!$B$13:$D$21,3,FALSE)</f>
        <v>0</v>
      </c>
      <c r="AT59" s="232">
        <f>Z59*VLOOKUP($AA59,'SKOR PPH'!$B$13:$D$21,3,FALSE)</f>
        <v>0</v>
      </c>
      <c r="AU59" s="232">
        <f>$AF59*VLOOKUP($AA59,'SKOR PPH'!$B$13:$D$21,3,FALSE)</f>
        <v>0</v>
      </c>
    </row>
    <row r="60" spans="2:47" ht="15" customHeight="1" x14ac:dyDescent="0.2">
      <c r="B60" s="147" t="s">
        <v>18</v>
      </c>
      <c r="C60" s="148">
        <v>100</v>
      </c>
      <c r="D60" s="149">
        <v>145.5</v>
      </c>
      <c r="E60" s="243">
        <v>28.5</v>
      </c>
      <c r="F60" s="149">
        <v>2.62</v>
      </c>
      <c r="G60" s="261">
        <v>0</v>
      </c>
      <c r="H60" s="150" t="s">
        <v>36</v>
      </c>
      <c r="I60" s="311">
        <v>0</v>
      </c>
      <c r="J60" s="311">
        <v>0</v>
      </c>
      <c r="K60" s="311">
        <v>0</v>
      </c>
      <c r="L60" s="144">
        <f t="shared" si="73"/>
        <v>0</v>
      </c>
      <c r="M60" s="144">
        <f t="shared" si="74"/>
        <v>0</v>
      </c>
      <c r="N60" s="144">
        <f t="shared" si="75"/>
        <v>0</v>
      </c>
      <c r="O60" s="144">
        <f t="shared" si="76"/>
        <v>0</v>
      </c>
      <c r="P60" s="144">
        <f t="shared" si="77"/>
        <v>0</v>
      </c>
      <c r="Q60" s="144">
        <f t="shared" si="78"/>
        <v>0</v>
      </c>
      <c r="R60" s="144">
        <f t="shared" si="79"/>
        <v>0</v>
      </c>
      <c r="S60" s="144">
        <f t="shared" si="80"/>
        <v>0</v>
      </c>
      <c r="T60" s="144">
        <f t="shared" si="81"/>
        <v>0</v>
      </c>
      <c r="U60" s="144">
        <f t="shared" si="82"/>
        <v>0</v>
      </c>
      <c r="V60" s="338">
        <f t="shared" si="83"/>
        <v>0</v>
      </c>
      <c r="W60" s="338">
        <f t="shared" si="84"/>
        <v>0</v>
      </c>
      <c r="X60" s="338">
        <f t="shared" si="85"/>
        <v>0</v>
      </c>
      <c r="Y60" s="338">
        <f t="shared" si="86"/>
        <v>0</v>
      </c>
      <c r="Z60" s="338">
        <f t="shared" si="87"/>
        <v>0</v>
      </c>
      <c r="AA60" s="199">
        <v>3</v>
      </c>
      <c r="AB60" s="201">
        <v>13</v>
      </c>
      <c r="AC60" s="240">
        <v>1.538</v>
      </c>
      <c r="AD60" s="232">
        <f t="shared" si="88"/>
        <v>0</v>
      </c>
      <c r="AE60" s="232">
        <f t="shared" si="54"/>
        <v>0</v>
      </c>
      <c r="AF60" s="232">
        <f t="shared" si="55"/>
        <v>0</v>
      </c>
      <c r="AG60" s="232">
        <f>M60*VLOOKUP($AA60,'SKOR PPH'!$B$13:$D$21,3,FALSE)</f>
        <v>0</v>
      </c>
      <c r="AH60" s="232">
        <f>N60*VLOOKUP($AA60,'SKOR PPH'!$B$13:$D$21,3,FALSE)</f>
        <v>0</v>
      </c>
      <c r="AI60" s="232">
        <f>O60*VLOOKUP($AA60,'SKOR PPH'!$B$13:$D$21,3,FALSE)</f>
        <v>0</v>
      </c>
      <c r="AJ60" s="232">
        <f>P60*VLOOKUP($AA60,'SKOR PPH'!$B$13:$D$21,3,FALSE)</f>
        <v>0</v>
      </c>
      <c r="AK60" s="232">
        <f>$AD60*VLOOKUP($AA60,'SKOR PPH'!$B$13:$D$21,3,FALSE)</f>
        <v>0</v>
      </c>
      <c r="AL60" s="232">
        <f>R60*VLOOKUP($AA60,'SKOR PPH'!$B$13:$D$21,3,FALSE)</f>
        <v>0</v>
      </c>
      <c r="AM60" s="232">
        <f>S60*VLOOKUP($AA60,'SKOR PPH'!$B$13:$D$21,3,FALSE)</f>
        <v>0</v>
      </c>
      <c r="AN60" s="232">
        <f>T60*VLOOKUP($AA60,'SKOR PPH'!$B$13:$D$21,3,FALSE)</f>
        <v>0</v>
      </c>
      <c r="AO60" s="232">
        <f>U60*VLOOKUP($AA60,'SKOR PPH'!$B$13:$D$21,3,FALSE)</f>
        <v>0</v>
      </c>
      <c r="AP60" s="232">
        <f>$AE60*VLOOKUP($AA60,'SKOR PPH'!$B$13:$D$21,3,FALSE)</f>
        <v>0</v>
      </c>
      <c r="AQ60" s="232">
        <f>W60*VLOOKUP($AA60,'SKOR PPH'!$B$13:$D$21,3,FALSE)</f>
        <v>0</v>
      </c>
      <c r="AR60" s="232">
        <f>X60*VLOOKUP($AA60,'SKOR PPH'!$B$13:$D$21,3,FALSE)</f>
        <v>0</v>
      </c>
      <c r="AS60" s="232">
        <f>Y60*VLOOKUP($AA60,'SKOR PPH'!$B$13:$D$21,3,FALSE)</f>
        <v>0</v>
      </c>
      <c r="AT60" s="232">
        <f>Z60*VLOOKUP($AA60,'SKOR PPH'!$B$13:$D$21,3,FALSE)</f>
        <v>0</v>
      </c>
      <c r="AU60" s="232">
        <f>$AF60*VLOOKUP($AA60,'SKOR PPH'!$B$13:$D$21,3,FALSE)</f>
        <v>0</v>
      </c>
    </row>
    <row r="61" spans="2:47" ht="15" customHeight="1" x14ac:dyDescent="0.2">
      <c r="B61" s="147" t="s">
        <v>37</v>
      </c>
      <c r="C61" s="148">
        <v>100</v>
      </c>
      <c r="D61" s="149">
        <v>216.8</v>
      </c>
      <c r="E61" s="243">
        <v>28.5</v>
      </c>
      <c r="F61" s="149">
        <v>10.5</v>
      </c>
      <c r="G61" s="261">
        <v>0</v>
      </c>
      <c r="H61" s="150" t="s">
        <v>36</v>
      </c>
      <c r="I61" s="311">
        <v>0</v>
      </c>
      <c r="J61" s="311">
        <v>0</v>
      </c>
      <c r="K61" s="311">
        <v>0</v>
      </c>
      <c r="L61" s="144">
        <f t="shared" si="73"/>
        <v>0</v>
      </c>
      <c r="M61" s="144">
        <f t="shared" si="74"/>
        <v>0</v>
      </c>
      <c r="N61" s="144">
        <f t="shared" si="75"/>
        <v>0</v>
      </c>
      <c r="O61" s="144">
        <f t="shared" si="76"/>
        <v>0</v>
      </c>
      <c r="P61" s="144">
        <f t="shared" si="77"/>
        <v>0</v>
      </c>
      <c r="Q61" s="144">
        <f t="shared" si="78"/>
        <v>0</v>
      </c>
      <c r="R61" s="144">
        <f t="shared" si="79"/>
        <v>0</v>
      </c>
      <c r="S61" s="144">
        <f t="shared" si="80"/>
        <v>0</v>
      </c>
      <c r="T61" s="144">
        <f t="shared" si="81"/>
        <v>0</v>
      </c>
      <c r="U61" s="144">
        <f t="shared" si="82"/>
        <v>0</v>
      </c>
      <c r="V61" s="338">
        <f t="shared" si="83"/>
        <v>0</v>
      </c>
      <c r="W61" s="338">
        <f t="shared" si="84"/>
        <v>0</v>
      </c>
      <c r="X61" s="338">
        <f t="shared" si="85"/>
        <v>0</v>
      </c>
      <c r="Y61" s="338">
        <f t="shared" si="86"/>
        <v>0</v>
      </c>
      <c r="Z61" s="338">
        <f t="shared" si="87"/>
        <v>0</v>
      </c>
      <c r="AA61" s="199">
        <v>3</v>
      </c>
      <c r="AB61" s="201">
        <v>13</v>
      </c>
      <c r="AC61" s="240">
        <v>1.538</v>
      </c>
      <c r="AD61" s="232">
        <f t="shared" si="88"/>
        <v>0</v>
      </c>
      <c r="AE61" s="232">
        <f t="shared" si="54"/>
        <v>0</v>
      </c>
      <c r="AF61" s="232">
        <f t="shared" si="55"/>
        <v>0</v>
      </c>
      <c r="AG61" s="232">
        <f>M61*VLOOKUP($AA61,'SKOR PPH'!$B$13:$D$21,3,FALSE)</f>
        <v>0</v>
      </c>
      <c r="AH61" s="232">
        <f>N61*VLOOKUP($AA61,'SKOR PPH'!$B$13:$D$21,3,FALSE)</f>
        <v>0</v>
      </c>
      <c r="AI61" s="232">
        <f>O61*VLOOKUP($AA61,'SKOR PPH'!$B$13:$D$21,3,FALSE)</f>
        <v>0</v>
      </c>
      <c r="AJ61" s="232">
        <f>P61*VLOOKUP($AA61,'SKOR PPH'!$B$13:$D$21,3,FALSE)</f>
        <v>0</v>
      </c>
      <c r="AK61" s="232">
        <f>$AD61*VLOOKUP($AA61,'SKOR PPH'!$B$13:$D$21,3,FALSE)</f>
        <v>0</v>
      </c>
      <c r="AL61" s="232">
        <f>R61*VLOOKUP($AA61,'SKOR PPH'!$B$13:$D$21,3,FALSE)</f>
        <v>0</v>
      </c>
      <c r="AM61" s="232">
        <f>S61*VLOOKUP($AA61,'SKOR PPH'!$B$13:$D$21,3,FALSE)</f>
        <v>0</v>
      </c>
      <c r="AN61" s="232">
        <f>T61*VLOOKUP($AA61,'SKOR PPH'!$B$13:$D$21,3,FALSE)</f>
        <v>0</v>
      </c>
      <c r="AO61" s="232">
        <f>U61*VLOOKUP($AA61,'SKOR PPH'!$B$13:$D$21,3,FALSE)</f>
        <v>0</v>
      </c>
      <c r="AP61" s="232">
        <f>$AE61*VLOOKUP($AA61,'SKOR PPH'!$B$13:$D$21,3,FALSE)</f>
        <v>0</v>
      </c>
      <c r="AQ61" s="232">
        <f>W61*VLOOKUP($AA61,'SKOR PPH'!$B$13:$D$21,3,FALSE)</f>
        <v>0</v>
      </c>
      <c r="AR61" s="232">
        <f>X61*VLOOKUP($AA61,'SKOR PPH'!$B$13:$D$21,3,FALSE)</f>
        <v>0</v>
      </c>
      <c r="AS61" s="232">
        <f>Y61*VLOOKUP($AA61,'SKOR PPH'!$B$13:$D$21,3,FALSE)</f>
        <v>0</v>
      </c>
      <c r="AT61" s="232">
        <f>Z61*VLOOKUP($AA61,'SKOR PPH'!$B$13:$D$21,3,FALSE)</f>
        <v>0</v>
      </c>
      <c r="AU61" s="232">
        <f>$AF61*VLOOKUP($AA61,'SKOR PPH'!$B$13:$D$21,3,FALSE)</f>
        <v>0</v>
      </c>
    </row>
    <row r="62" spans="2:47" ht="15" customHeight="1" x14ac:dyDescent="0.2">
      <c r="B62" s="147" t="s">
        <v>21</v>
      </c>
      <c r="C62" s="148">
        <v>100</v>
      </c>
      <c r="D62" s="149">
        <v>296</v>
      </c>
      <c r="E62" s="243">
        <v>17.100000000000001</v>
      </c>
      <c r="F62" s="149">
        <v>20.3</v>
      </c>
      <c r="G62" s="261">
        <v>11.3</v>
      </c>
      <c r="H62" s="150" t="s">
        <v>36</v>
      </c>
      <c r="I62" s="311">
        <v>0</v>
      </c>
      <c r="J62" s="311">
        <v>0</v>
      </c>
      <c r="K62" s="311">
        <v>0</v>
      </c>
      <c r="L62" s="144">
        <f t="shared" si="73"/>
        <v>0</v>
      </c>
      <c r="M62" s="144">
        <f t="shared" si="74"/>
        <v>0</v>
      </c>
      <c r="N62" s="144">
        <f t="shared" si="75"/>
        <v>0</v>
      </c>
      <c r="O62" s="144">
        <f t="shared" si="76"/>
        <v>0</v>
      </c>
      <c r="P62" s="144">
        <f t="shared" si="77"/>
        <v>0</v>
      </c>
      <c r="Q62" s="144">
        <f t="shared" si="78"/>
        <v>0</v>
      </c>
      <c r="R62" s="144">
        <f t="shared" si="79"/>
        <v>0</v>
      </c>
      <c r="S62" s="144">
        <f t="shared" si="80"/>
        <v>0</v>
      </c>
      <c r="T62" s="144">
        <f t="shared" si="81"/>
        <v>0</v>
      </c>
      <c r="U62" s="144">
        <f t="shared" si="82"/>
        <v>0</v>
      </c>
      <c r="V62" s="338">
        <f t="shared" si="83"/>
        <v>0</v>
      </c>
      <c r="W62" s="338">
        <f t="shared" si="84"/>
        <v>0</v>
      </c>
      <c r="X62" s="338">
        <f t="shared" si="85"/>
        <v>0</v>
      </c>
      <c r="Y62" s="338">
        <f t="shared" si="86"/>
        <v>0</v>
      </c>
      <c r="Z62" s="338">
        <f t="shared" si="87"/>
        <v>0</v>
      </c>
      <c r="AA62" s="199">
        <v>3</v>
      </c>
      <c r="AB62" s="201">
        <v>13</v>
      </c>
      <c r="AC62" s="240">
        <v>1.538</v>
      </c>
      <c r="AD62" s="232">
        <f t="shared" si="88"/>
        <v>0</v>
      </c>
      <c r="AE62" s="232">
        <f t="shared" si="54"/>
        <v>0</v>
      </c>
      <c r="AF62" s="232">
        <f t="shared" si="55"/>
        <v>0</v>
      </c>
      <c r="AG62" s="232">
        <f>M62*VLOOKUP($AA62,'SKOR PPH'!$B$13:$D$21,3,FALSE)</f>
        <v>0</v>
      </c>
      <c r="AH62" s="232">
        <f>N62*VLOOKUP($AA62,'SKOR PPH'!$B$13:$D$21,3,FALSE)</f>
        <v>0</v>
      </c>
      <c r="AI62" s="232">
        <f>O62*VLOOKUP($AA62,'SKOR PPH'!$B$13:$D$21,3,FALSE)</f>
        <v>0</v>
      </c>
      <c r="AJ62" s="232">
        <f>P62*VLOOKUP($AA62,'SKOR PPH'!$B$13:$D$21,3,FALSE)</f>
        <v>0</v>
      </c>
      <c r="AK62" s="232">
        <f>$AD62*VLOOKUP($AA62,'SKOR PPH'!$B$13:$D$21,3,FALSE)</f>
        <v>0</v>
      </c>
      <c r="AL62" s="232">
        <f>R62*VLOOKUP($AA62,'SKOR PPH'!$B$13:$D$21,3,FALSE)</f>
        <v>0</v>
      </c>
      <c r="AM62" s="232">
        <f>S62*VLOOKUP($AA62,'SKOR PPH'!$B$13:$D$21,3,FALSE)</f>
        <v>0</v>
      </c>
      <c r="AN62" s="232">
        <f>T62*VLOOKUP($AA62,'SKOR PPH'!$B$13:$D$21,3,FALSE)</f>
        <v>0</v>
      </c>
      <c r="AO62" s="232">
        <f>U62*VLOOKUP($AA62,'SKOR PPH'!$B$13:$D$21,3,FALSE)</f>
        <v>0</v>
      </c>
      <c r="AP62" s="232">
        <f>$AE62*VLOOKUP($AA62,'SKOR PPH'!$B$13:$D$21,3,FALSE)</f>
        <v>0</v>
      </c>
      <c r="AQ62" s="232">
        <f>W62*VLOOKUP($AA62,'SKOR PPH'!$B$13:$D$21,3,FALSE)</f>
        <v>0</v>
      </c>
      <c r="AR62" s="232">
        <f>X62*VLOOKUP($AA62,'SKOR PPH'!$B$13:$D$21,3,FALSE)</f>
        <v>0</v>
      </c>
      <c r="AS62" s="232">
        <f>Y62*VLOOKUP($AA62,'SKOR PPH'!$B$13:$D$21,3,FALSE)</f>
        <v>0</v>
      </c>
      <c r="AT62" s="232">
        <f>Z62*VLOOKUP($AA62,'SKOR PPH'!$B$13:$D$21,3,FALSE)</f>
        <v>0</v>
      </c>
      <c r="AU62" s="232">
        <f>$AF62*VLOOKUP($AA62,'SKOR PPH'!$B$13:$D$21,3,FALSE)</f>
        <v>0</v>
      </c>
    </row>
    <row r="63" spans="2:47" ht="15" customHeight="1" x14ac:dyDescent="0.2">
      <c r="B63" s="147" t="s">
        <v>22</v>
      </c>
      <c r="C63" s="148">
        <v>100</v>
      </c>
      <c r="D63" s="149">
        <v>233.6</v>
      </c>
      <c r="E63" s="243">
        <v>46.4</v>
      </c>
      <c r="F63" s="149">
        <v>3.2</v>
      </c>
      <c r="G63" s="261">
        <v>0</v>
      </c>
      <c r="H63" s="150" t="s">
        <v>36</v>
      </c>
      <c r="I63" s="311">
        <v>0</v>
      </c>
      <c r="J63" s="311">
        <v>0</v>
      </c>
      <c r="K63" s="311">
        <v>0</v>
      </c>
      <c r="L63" s="144">
        <f t="shared" si="73"/>
        <v>0</v>
      </c>
      <c r="M63" s="144">
        <f t="shared" si="74"/>
        <v>0</v>
      </c>
      <c r="N63" s="144">
        <f t="shared" si="75"/>
        <v>0</v>
      </c>
      <c r="O63" s="144">
        <f t="shared" si="76"/>
        <v>0</v>
      </c>
      <c r="P63" s="144">
        <f t="shared" si="77"/>
        <v>0</v>
      </c>
      <c r="Q63" s="144">
        <f t="shared" si="78"/>
        <v>0</v>
      </c>
      <c r="R63" s="144">
        <f t="shared" si="79"/>
        <v>0</v>
      </c>
      <c r="S63" s="144">
        <f t="shared" si="80"/>
        <v>0</v>
      </c>
      <c r="T63" s="144">
        <f t="shared" si="81"/>
        <v>0</v>
      </c>
      <c r="U63" s="144">
        <f t="shared" si="82"/>
        <v>0</v>
      </c>
      <c r="V63" s="338">
        <f t="shared" si="83"/>
        <v>0</v>
      </c>
      <c r="W63" s="338">
        <f t="shared" si="84"/>
        <v>0</v>
      </c>
      <c r="X63" s="338">
        <f t="shared" si="85"/>
        <v>0</v>
      </c>
      <c r="Y63" s="338">
        <f t="shared" si="86"/>
        <v>0</v>
      </c>
      <c r="Z63" s="338">
        <f t="shared" si="87"/>
        <v>0</v>
      </c>
      <c r="AA63" s="199">
        <v>3</v>
      </c>
      <c r="AB63" s="201">
        <v>13</v>
      </c>
      <c r="AC63" s="240">
        <v>1.538</v>
      </c>
      <c r="AD63" s="232">
        <f t="shared" si="88"/>
        <v>0</v>
      </c>
      <c r="AE63" s="232">
        <f t="shared" si="54"/>
        <v>0</v>
      </c>
      <c r="AF63" s="232">
        <f t="shared" si="55"/>
        <v>0</v>
      </c>
      <c r="AG63" s="232">
        <f>M63*VLOOKUP($AA63,'SKOR PPH'!$B$13:$D$21,3,FALSE)</f>
        <v>0</v>
      </c>
      <c r="AH63" s="232">
        <f>N63*VLOOKUP($AA63,'SKOR PPH'!$B$13:$D$21,3,FALSE)</f>
        <v>0</v>
      </c>
      <c r="AI63" s="232">
        <f>O63*VLOOKUP($AA63,'SKOR PPH'!$B$13:$D$21,3,FALSE)</f>
        <v>0</v>
      </c>
      <c r="AJ63" s="232">
        <f>P63*VLOOKUP($AA63,'SKOR PPH'!$B$13:$D$21,3,FALSE)</f>
        <v>0</v>
      </c>
      <c r="AK63" s="232">
        <f>$AD63*VLOOKUP($AA63,'SKOR PPH'!$B$13:$D$21,3,FALSE)</f>
        <v>0</v>
      </c>
      <c r="AL63" s="232">
        <f>R63*VLOOKUP($AA63,'SKOR PPH'!$B$13:$D$21,3,FALSE)</f>
        <v>0</v>
      </c>
      <c r="AM63" s="232">
        <f>S63*VLOOKUP($AA63,'SKOR PPH'!$B$13:$D$21,3,FALSE)</f>
        <v>0</v>
      </c>
      <c r="AN63" s="232">
        <f>T63*VLOOKUP($AA63,'SKOR PPH'!$B$13:$D$21,3,FALSE)</f>
        <v>0</v>
      </c>
      <c r="AO63" s="232">
        <f>U63*VLOOKUP($AA63,'SKOR PPH'!$B$13:$D$21,3,FALSE)</f>
        <v>0</v>
      </c>
      <c r="AP63" s="232">
        <f>$AE63*VLOOKUP($AA63,'SKOR PPH'!$B$13:$D$21,3,FALSE)</f>
        <v>0</v>
      </c>
      <c r="AQ63" s="232">
        <f>W63*VLOOKUP($AA63,'SKOR PPH'!$B$13:$D$21,3,FALSE)</f>
        <v>0</v>
      </c>
      <c r="AR63" s="232">
        <f>X63*VLOOKUP($AA63,'SKOR PPH'!$B$13:$D$21,3,FALSE)</f>
        <v>0</v>
      </c>
      <c r="AS63" s="232">
        <f>Y63*VLOOKUP($AA63,'SKOR PPH'!$B$13:$D$21,3,FALSE)</f>
        <v>0</v>
      </c>
      <c r="AT63" s="232">
        <f>Z63*VLOOKUP($AA63,'SKOR PPH'!$B$13:$D$21,3,FALSE)</f>
        <v>0</v>
      </c>
      <c r="AU63" s="232">
        <f>$AF63*VLOOKUP($AA63,'SKOR PPH'!$B$13:$D$21,3,FALSE)</f>
        <v>0</v>
      </c>
    </row>
    <row r="64" spans="2:47" ht="15" customHeight="1" x14ac:dyDescent="0.2">
      <c r="B64" s="147" t="s">
        <v>38</v>
      </c>
      <c r="C64" s="148">
        <v>100</v>
      </c>
      <c r="D64" s="333">
        <v>338</v>
      </c>
      <c r="E64" s="334">
        <v>21.1</v>
      </c>
      <c r="F64" s="149">
        <v>27</v>
      </c>
      <c r="G64" s="261">
        <v>0</v>
      </c>
      <c r="H64" s="150" t="s">
        <v>36</v>
      </c>
      <c r="I64" s="311">
        <v>1.2361915353991065E-3</v>
      </c>
      <c r="J64" s="311">
        <v>8.5473113534161264E-3</v>
      </c>
      <c r="K64" s="311">
        <v>9.7835028888152327E-3</v>
      </c>
      <c r="L64" s="144">
        <f t="shared" si="73"/>
        <v>1.7659879077130094E-2</v>
      </c>
      <c r="M64" s="144">
        <f t="shared" si="74"/>
        <v>5.9690391280699716E-2</v>
      </c>
      <c r="N64" s="144">
        <f t="shared" si="75"/>
        <v>3.7262344852744501E-3</v>
      </c>
      <c r="O64" s="144">
        <f t="shared" si="76"/>
        <v>4.7681673508251253E-3</v>
      </c>
      <c r="P64" s="144">
        <f t="shared" si="77"/>
        <v>0</v>
      </c>
      <c r="Q64" s="144">
        <f t="shared" si="78"/>
        <v>0.12210444790594466</v>
      </c>
      <c r="R64" s="144">
        <f t="shared" si="79"/>
        <v>0.41271303392209296</v>
      </c>
      <c r="S64" s="144">
        <f t="shared" si="80"/>
        <v>2.5764038508154324E-2</v>
      </c>
      <c r="T64" s="144">
        <f t="shared" si="81"/>
        <v>3.2968200934605056E-2</v>
      </c>
      <c r="U64" s="144">
        <f t="shared" si="82"/>
        <v>0</v>
      </c>
      <c r="V64" s="338">
        <f t="shared" si="83"/>
        <v>0.13976432698307475</v>
      </c>
      <c r="W64" s="338">
        <f t="shared" si="84"/>
        <v>0.47240342520279271</v>
      </c>
      <c r="X64" s="338">
        <f t="shared" si="85"/>
        <v>2.9490272993428775E-2</v>
      </c>
      <c r="Y64" s="338">
        <f t="shared" si="86"/>
        <v>3.7736368285430186E-2</v>
      </c>
      <c r="Z64" s="338">
        <f t="shared" si="87"/>
        <v>0</v>
      </c>
      <c r="AA64" s="199">
        <v>3</v>
      </c>
      <c r="AB64" s="201">
        <v>13</v>
      </c>
      <c r="AC64" s="240">
        <v>1.538</v>
      </c>
      <c r="AD64" s="232">
        <f t="shared" si="88"/>
        <v>2.7160894020626086E-2</v>
      </c>
      <c r="AE64" s="232">
        <f t="shared" si="54"/>
        <v>0.18779664087934289</v>
      </c>
      <c r="AF64" s="232">
        <f t="shared" si="55"/>
        <v>0.21495753489996897</v>
      </c>
      <c r="AG64" s="232">
        <f>M64*VLOOKUP($AA64,'SKOR PPH'!$B$13:$D$21,3,FALSE)</f>
        <v>6.4668569913510068E-2</v>
      </c>
      <c r="AH64" s="232">
        <f>N64*VLOOKUP($AA64,'SKOR PPH'!$B$13:$D$21,3,FALSE)</f>
        <v>4.0370024413463393E-3</v>
      </c>
      <c r="AI64" s="232">
        <f>O64*VLOOKUP($AA64,'SKOR PPH'!$B$13:$D$21,3,FALSE)</f>
        <v>5.1658325078839402E-3</v>
      </c>
      <c r="AJ64" s="232">
        <f>P64*VLOOKUP($AA64,'SKOR PPH'!$B$13:$D$21,3,FALSE)</f>
        <v>0</v>
      </c>
      <c r="AK64" s="232">
        <f>$AD64*VLOOKUP($AA64,'SKOR PPH'!$B$13:$D$21,3,FALSE)</f>
        <v>2.9426112581946298E-2</v>
      </c>
      <c r="AL64" s="232">
        <f>R64*VLOOKUP($AA64,'SKOR PPH'!$B$13:$D$21,3,FALSE)</f>
        <v>0.44713330095119547</v>
      </c>
      <c r="AM64" s="232">
        <f>S64*VLOOKUP($AA64,'SKOR PPH'!$B$13:$D$21,3,FALSE)</f>
        <v>2.7912759319734391E-2</v>
      </c>
      <c r="AN64" s="232">
        <f>T64*VLOOKUP($AA64,'SKOR PPH'!$B$13:$D$21,3,FALSE)</f>
        <v>3.5717748892551117E-2</v>
      </c>
      <c r="AO64" s="232">
        <f>U64*VLOOKUP($AA64,'SKOR PPH'!$B$13:$D$21,3,FALSE)</f>
        <v>0</v>
      </c>
      <c r="AP64" s="232">
        <f>$AE64*VLOOKUP($AA64,'SKOR PPH'!$B$13:$D$21,3,FALSE)</f>
        <v>0.20345888072868007</v>
      </c>
      <c r="AQ64" s="232">
        <f>W64*VLOOKUP($AA64,'SKOR PPH'!$B$13:$D$21,3,FALSE)</f>
        <v>0.51180187086470563</v>
      </c>
      <c r="AR64" s="232">
        <f>X64*VLOOKUP($AA64,'SKOR PPH'!$B$13:$D$21,3,FALSE)</f>
        <v>3.1949761761080733E-2</v>
      </c>
      <c r="AS64" s="232">
        <f>Y64*VLOOKUP($AA64,'SKOR PPH'!$B$13:$D$21,3,FALSE)</f>
        <v>4.0883581400435062E-2</v>
      </c>
      <c r="AT64" s="232">
        <f>Z64*VLOOKUP($AA64,'SKOR PPH'!$B$13:$D$21,3,FALSE)</f>
        <v>0</v>
      </c>
      <c r="AU64" s="232">
        <f>$AF64*VLOOKUP($AA64,'SKOR PPH'!$B$13:$D$21,3,FALSE)</f>
        <v>0.23288499331062637</v>
      </c>
    </row>
    <row r="65" spans="2:47" ht="15" customHeight="1" x14ac:dyDescent="0.2">
      <c r="B65" s="153" t="s">
        <v>33</v>
      </c>
      <c r="C65" s="154">
        <v>100</v>
      </c>
      <c r="D65" s="335">
        <v>307</v>
      </c>
      <c r="E65" s="336">
        <v>43.62</v>
      </c>
      <c r="F65" s="155">
        <v>8.9</v>
      </c>
      <c r="G65" s="262">
        <v>10.86</v>
      </c>
      <c r="H65" s="156" t="s">
        <v>36</v>
      </c>
      <c r="I65" s="311">
        <f>0+0.0228198150269276</f>
        <v>2.2819815026927599E-2</v>
      </c>
      <c r="J65" s="311">
        <f>0.0127139829289243+0.173268311236114</f>
        <v>0.18598229416503831</v>
      </c>
      <c r="K65" s="311">
        <f>0.0127139829289243+0.196088126263041</f>
        <v>0.20880210919196532</v>
      </c>
      <c r="L65" s="144">
        <f t="shared" si="73"/>
        <v>0.32599735752753711</v>
      </c>
      <c r="M65" s="144">
        <f t="shared" si="74"/>
        <v>1.0008118876095389</v>
      </c>
      <c r="N65" s="144">
        <f t="shared" si="75"/>
        <v>0.14220004735351169</v>
      </c>
      <c r="O65" s="144">
        <f t="shared" si="76"/>
        <v>2.9013764819950806E-2</v>
      </c>
      <c r="P65" s="144">
        <f t="shared" si="77"/>
        <v>3.5403313027490529E-2</v>
      </c>
      <c r="Q65" s="144">
        <f t="shared" si="78"/>
        <v>2.6568899166434043</v>
      </c>
      <c r="R65" s="144">
        <f t="shared" si="79"/>
        <v>8.1566520440952512</v>
      </c>
      <c r="S65" s="144">
        <f t="shared" si="80"/>
        <v>1.1589353816398531</v>
      </c>
      <c r="T65" s="144">
        <f t="shared" si="81"/>
        <v>0.23646320258126299</v>
      </c>
      <c r="U65" s="144">
        <f t="shared" si="82"/>
        <v>0.28853824494747371</v>
      </c>
      <c r="V65" s="338">
        <f t="shared" si="83"/>
        <v>2.9828872741709334</v>
      </c>
      <c r="W65" s="338">
        <f t="shared" si="84"/>
        <v>9.1574639317047648</v>
      </c>
      <c r="X65" s="338">
        <f t="shared" si="85"/>
        <v>1.3011354289933608</v>
      </c>
      <c r="Y65" s="338">
        <f t="shared" si="86"/>
        <v>0.26547696740121307</v>
      </c>
      <c r="Z65" s="338">
        <f t="shared" si="87"/>
        <v>0.32394155797496332</v>
      </c>
      <c r="AA65" s="199">
        <v>3</v>
      </c>
      <c r="AB65" s="201">
        <v>13</v>
      </c>
      <c r="AC65" s="240">
        <v>1.538</v>
      </c>
      <c r="AD65" s="232">
        <f t="shared" si="88"/>
        <v>0.50138393587735208</v>
      </c>
      <c r="AE65" s="232">
        <f t="shared" si="54"/>
        <v>4.0862966917975561</v>
      </c>
      <c r="AF65" s="232">
        <f t="shared" si="55"/>
        <v>4.5876806276748958</v>
      </c>
      <c r="AG65" s="232">
        <f>M65*VLOOKUP($AA65,'SKOR PPH'!$B$13:$D$21,3,FALSE)</f>
        <v>1.0842795990361744</v>
      </c>
      <c r="AH65" s="232">
        <f>N65*VLOOKUP($AA65,'SKOR PPH'!$B$13:$D$21,3,FALSE)</f>
        <v>0.15405953130279454</v>
      </c>
      <c r="AI65" s="232">
        <f>O65*VLOOKUP($AA65,'SKOR PPH'!$B$13:$D$21,3,FALSE)</f>
        <v>3.1433512805934698E-2</v>
      </c>
      <c r="AJ65" s="232">
        <f>P65*VLOOKUP($AA65,'SKOR PPH'!$B$13:$D$21,3,FALSE)</f>
        <v>3.8355949333983237E-2</v>
      </c>
      <c r="AK65" s="232">
        <f>$AD65*VLOOKUP($AA65,'SKOR PPH'!$B$13:$D$21,3,FALSE)</f>
        <v>0.54319935612952319</v>
      </c>
      <c r="AL65" s="232">
        <f>R65*VLOOKUP($AA65,'SKOR PPH'!$B$13:$D$21,3,FALSE)</f>
        <v>8.8369168245727945</v>
      </c>
      <c r="AM65" s="232">
        <f>S65*VLOOKUP($AA65,'SKOR PPH'!$B$13:$D$21,3,FALSE)</f>
        <v>1.2555905924686168</v>
      </c>
      <c r="AN65" s="232">
        <f>T65*VLOOKUP($AA65,'SKOR PPH'!$B$13:$D$21,3,FALSE)</f>
        <v>0.25618423367654031</v>
      </c>
      <c r="AO65" s="232">
        <f>U65*VLOOKUP($AA65,'SKOR PPH'!$B$13:$D$21,3,FALSE)</f>
        <v>0.31260233457609299</v>
      </c>
      <c r="AP65" s="232">
        <f>$AE65*VLOOKUP($AA65,'SKOR PPH'!$B$13:$D$21,3,FALSE)</f>
        <v>4.4270938358934719</v>
      </c>
      <c r="AQ65" s="232">
        <f>W65*VLOOKUP($AA65,'SKOR PPH'!$B$13:$D$21,3,FALSE)</f>
        <v>9.9211964236089418</v>
      </c>
      <c r="AR65" s="232">
        <f>X65*VLOOKUP($AA65,'SKOR PPH'!$B$13:$D$21,3,FALSE)</f>
        <v>1.409650123771407</v>
      </c>
      <c r="AS65" s="232">
        <f>Y65*VLOOKUP($AA65,'SKOR PPH'!$B$13:$D$21,3,FALSE)</f>
        <v>0.28761774648247423</v>
      </c>
      <c r="AT65" s="232">
        <f>Z65*VLOOKUP($AA65,'SKOR PPH'!$B$13:$D$21,3,FALSE)</f>
        <v>0.35095828391007522</v>
      </c>
      <c r="AU65" s="232">
        <f>$AF65*VLOOKUP($AA65,'SKOR PPH'!$B$13:$D$21,3,FALSE)</f>
        <v>4.9702931920229814</v>
      </c>
    </row>
    <row r="66" spans="2:47" ht="15" customHeight="1" x14ac:dyDescent="0.2">
      <c r="B66" s="193" t="s">
        <v>39</v>
      </c>
      <c r="C66" s="194"/>
      <c r="D66" s="195"/>
      <c r="E66" s="249"/>
      <c r="F66" s="195"/>
      <c r="G66" s="195"/>
      <c r="H66" s="268"/>
      <c r="I66" s="316"/>
      <c r="J66" s="316"/>
      <c r="K66" s="330"/>
      <c r="L66" s="327"/>
      <c r="M66" s="196"/>
      <c r="N66" s="196"/>
      <c r="O66" s="328"/>
      <c r="P66" s="197"/>
      <c r="Q66" s="327"/>
      <c r="R66" s="196"/>
      <c r="S66" s="196"/>
      <c r="T66" s="328"/>
      <c r="U66" s="197"/>
      <c r="V66" s="327"/>
      <c r="W66" s="196"/>
      <c r="X66" s="196"/>
      <c r="Y66" s="328"/>
      <c r="Z66" s="197"/>
      <c r="AA66" s="199"/>
      <c r="AB66" s="201"/>
      <c r="AC66" s="177"/>
      <c r="AD66" s="232"/>
      <c r="AE66" s="232"/>
      <c r="AF66" s="232"/>
      <c r="AG66" s="80"/>
      <c r="AH66" s="80"/>
      <c r="AI66" s="80"/>
      <c r="AJ66" s="80"/>
      <c r="AK66" s="80"/>
      <c r="AL66" s="80"/>
      <c r="AM66" s="80"/>
      <c r="AN66" s="80"/>
      <c r="AO66" s="80"/>
      <c r="AP66" s="80"/>
      <c r="AQ66" s="80"/>
      <c r="AR66" s="80"/>
      <c r="AS66" s="80"/>
      <c r="AT66" s="80"/>
      <c r="AU66" s="80"/>
    </row>
    <row r="67" spans="2:47" ht="15" customHeight="1" x14ac:dyDescent="0.2">
      <c r="B67" s="140" t="s">
        <v>40</v>
      </c>
      <c r="C67" s="141">
        <v>100</v>
      </c>
      <c r="D67" s="142">
        <v>265.5</v>
      </c>
      <c r="E67" s="242">
        <v>56.16</v>
      </c>
      <c r="F67" s="142">
        <v>2.0699999999999998</v>
      </c>
      <c r="G67" s="260">
        <v>1.6</v>
      </c>
      <c r="H67" s="143" t="s">
        <v>36</v>
      </c>
      <c r="I67" s="311">
        <v>0</v>
      </c>
      <c r="J67" s="311">
        <v>0</v>
      </c>
      <c r="K67" s="311">
        <v>0</v>
      </c>
      <c r="L67" s="144">
        <f t="shared" ref="L67:L69" si="89">$I67*C67/7</f>
        <v>0</v>
      </c>
      <c r="M67" s="144">
        <f t="shared" ref="M67:M69" si="90">$I67*D67/7</f>
        <v>0</v>
      </c>
      <c r="N67" s="144">
        <f t="shared" ref="N67:N69" si="91">$I67*E67/7</f>
        <v>0</v>
      </c>
      <c r="O67" s="144">
        <f t="shared" ref="O67:O69" si="92">$I67*F67/7</f>
        <v>0</v>
      </c>
      <c r="P67" s="144">
        <f t="shared" ref="P67:P69" si="93">$I67*G67/7</f>
        <v>0</v>
      </c>
      <c r="Q67" s="144">
        <f t="shared" ref="Q67:Q69" si="94">$J67*C67/7</f>
        <v>0</v>
      </c>
      <c r="R67" s="144">
        <f t="shared" ref="R67:R69" si="95">$J67*D67/7</f>
        <v>0</v>
      </c>
      <c r="S67" s="144">
        <f t="shared" ref="S67:S69" si="96">$J67*E67/7</f>
        <v>0</v>
      </c>
      <c r="T67" s="144">
        <f t="shared" ref="T67:T69" si="97">$J67*F67/7</f>
        <v>0</v>
      </c>
      <c r="U67" s="144">
        <f t="shared" ref="U67:U69" si="98">$J67*G67/7</f>
        <v>0</v>
      </c>
      <c r="V67" s="338">
        <f t="shared" ref="V67:V69" si="99">$K67*C67/7</f>
        <v>0</v>
      </c>
      <c r="W67" s="338">
        <f t="shared" ref="W67:W69" si="100">$K67*D67/7</f>
        <v>0</v>
      </c>
      <c r="X67" s="338">
        <f t="shared" ref="X67:X69" si="101">$K67*E67/7</f>
        <v>0</v>
      </c>
      <c r="Y67" s="338">
        <f t="shared" ref="Y67:Y69" si="102">$K67*F67/7</f>
        <v>0</v>
      </c>
      <c r="Z67" s="338">
        <f t="shared" ref="Z67:Z69" si="103">$K67*G67/7</f>
        <v>0</v>
      </c>
      <c r="AA67" s="199">
        <v>3</v>
      </c>
      <c r="AB67" s="201">
        <v>13</v>
      </c>
      <c r="AC67" s="240">
        <v>1.538</v>
      </c>
      <c r="AD67" s="232">
        <f t="shared" ref="AD67:AD69" si="104">$L67*$AC67</f>
        <v>0</v>
      </c>
      <c r="AE67" s="232">
        <f t="shared" si="54"/>
        <v>0</v>
      </c>
      <c r="AF67" s="232">
        <f t="shared" si="55"/>
        <v>0</v>
      </c>
      <c r="AG67" s="232">
        <f>M67*VLOOKUP($AA67,'SKOR PPH'!$B$13:$D$21,3,FALSE)</f>
        <v>0</v>
      </c>
      <c r="AH67" s="232">
        <f>N67*VLOOKUP($AA67,'SKOR PPH'!$B$13:$D$21,3,FALSE)</f>
        <v>0</v>
      </c>
      <c r="AI67" s="232">
        <f>O67*VLOOKUP($AA67,'SKOR PPH'!$B$13:$D$21,3,FALSE)</f>
        <v>0</v>
      </c>
      <c r="AJ67" s="232">
        <f>P67*VLOOKUP($AA67,'SKOR PPH'!$B$13:$D$21,3,FALSE)</f>
        <v>0</v>
      </c>
      <c r="AK67" s="232">
        <f>$AD67*VLOOKUP($AA67,'SKOR PPH'!$B$13:$D$21,3,FALSE)</f>
        <v>0</v>
      </c>
      <c r="AL67" s="232">
        <f>R67*VLOOKUP($AA67,'SKOR PPH'!$B$13:$D$21,3,FALSE)</f>
        <v>0</v>
      </c>
      <c r="AM67" s="232">
        <f>S67*VLOOKUP($AA67,'SKOR PPH'!$B$13:$D$21,3,FALSE)</f>
        <v>0</v>
      </c>
      <c r="AN67" s="232">
        <f>T67*VLOOKUP($AA67,'SKOR PPH'!$B$13:$D$21,3,FALSE)</f>
        <v>0</v>
      </c>
      <c r="AO67" s="232">
        <f>U67*VLOOKUP($AA67,'SKOR PPH'!$B$13:$D$21,3,FALSE)</f>
        <v>0</v>
      </c>
      <c r="AP67" s="232">
        <f>$AE67*VLOOKUP($AA67,'SKOR PPH'!$B$13:$D$21,3,FALSE)</f>
        <v>0</v>
      </c>
      <c r="AQ67" s="232">
        <f>W67*VLOOKUP($AA67,'SKOR PPH'!$B$13:$D$21,3,FALSE)</f>
        <v>0</v>
      </c>
      <c r="AR67" s="232">
        <f>X67*VLOOKUP($AA67,'SKOR PPH'!$B$13:$D$21,3,FALSE)</f>
        <v>0</v>
      </c>
      <c r="AS67" s="232">
        <f>Y67*VLOOKUP($AA67,'SKOR PPH'!$B$13:$D$21,3,FALSE)</f>
        <v>0</v>
      </c>
      <c r="AT67" s="232">
        <f>Z67*VLOOKUP($AA67,'SKOR PPH'!$B$13:$D$21,3,FALSE)</f>
        <v>0</v>
      </c>
      <c r="AU67" s="232">
        <f>$AF67*VLOOKUP($AA67,'SKOR PPH'!$B$13:$D$21,3,FALSE)</f>
        <v>0</v>
      </c>
    </row>
    <row r="68" spans="2:47" ht="15" customHeight="1" x14ac:dyDescent="0.2">
      <c r="B68" s="147" t="s">
        <v>30</v>
      </c>
      <c r="C68" s="148">
        <v>100</v>
      </c>
      <c r="D68" s="149">
        <v>265.5</v>
      </c>
      <c r="E68" s="243">
        <v>56.16</v>
      </c>
      <c r="F68" s="149">
        <v>2.0699999999999998</v>
      </c>
      <c r="G68" s="261">
        <v>1.6</v>
      </c>
      <c r="H68" s="150" t="s">
        <v>36</v>
      </c>
      <c r="I68" s="311">
        <v>5.071824823595977E-4</v>
      </c>
      <c r="J68" s="311">
        <v>1.0946866571560592E-2</v>
      </c>
      <c r="K68" s="311">
        <v>1.1454049053920185E-2</v>
      </c>
      <c r="L68" s="144">
        <f t="shared" si="89"/>
        <v>7.2454640337085386E-3</v>
      </c>
      <c r="M68" s="144">
        <f t="shared" si="90"/>
        <v>1.923670700949617E-2</v>
      </c>
      <c r="N68" s="144">
        <f t="shared" si="91"/>
        <v>4.0690526013307153E-3</v>
      </c>
      <c r="O68" s="144">
        <f t="shared" si="92"/>
        <v>1.4998110549776673E-4</v>
      </c>
      <c r="P68" s="144">
        <f t="shared" si="93"/>
        <v>1.1592742453933663E-4</v>
      </c>
      <c r="Q68" s="144">
        <f t="shared" si="94"/>
        <v>0.15638380816515132</v>
      </c>
      <c r="R68" s="144">
        <f t="shared" si="95"/>
        <v>0.4151990106784767</v>
      </c>
      <c r="S68" s="144">
        <f t="shared" si="96"/>
        <v>8.782514666554897E-2</v>
      </c>
      <c r="T68" s="144">
        <f t="shared" si="97"/>
        <v>3.2371448290186319E-3</v>
      </c>
      <c r="U68" s="144">
        <f t="shared" si="98"/>
        <v>2.5021409306424211E-3</v>
      </c>
      <c r="V68" s="338">
        <f t="shared" si="99"/>
        <v>0.16362927219885978</v>
      </c>
      <c r="W68" s="338">
        <f t="shared" si="100"/>
        <v>0.43443571768797273</v>
      </c>
      <c r="X68" s="338">
        <f t="shared" si="101"/>
        <v>9.1894199266879653E-2</v>
      </c>
      <c r="Y68" s="338">
        <f t="shared" si="102"/>
        <v>3.3871259345163974E-3</v>
      </c>
      <c r="Z68" s="338">
        <f t="shared" si="103"/>
        <v>2.6180683551817567E-3</v>
      </c>
      <c r="AA68" s="199">
        <v>3</v>
      </c>
      <c r="AB68" s="201">
        <v>13</v>
      </c>
      <c r="AC68" s="240">
        <v>1.538</v>
      </c>
      <c r="AD68" s="232">
        <f t="shared" si="104"/>
        <v>1.1143523683843732E-2</v>
      </c>
      <c r="AE68" s="232">
        <f t="shared" si="54"/>
        <v>0.24051829695800273</v>
      </c>
      <c r="AF68" s="232">
        <f t="shared" si="55"/>
        <v>0.25166182064184633</v>
      </c>
      <c r="AG68" s="232">
        <f>M68*VLOOKUP($AA68,'SKOR PPH'!$B$13:$D$21,3,FALSE)</f>
        <v>2.084104837408815E-2</v>
      </c>
      <c r="AH68" s="232">
        <f>N68*VLOOKUP($AA68,'SKOR PPH'!$B$13:$D$21,3,FALSE)</f>
        <v>4.4084115882816969E-3</v>
      </c>
      <c r="AI68" s="232">
        <f>O68*VLOOKUP($AA68,'SKOR PPH'!$B$13:$D$21,3,FALSE)</f>
        <v>1.6248952969628047E-4</v>
      </c>
      <c r="AJ68" s="232">
        <f>P68*VLOOKUP($AA68,'SKOR PPH'!$B$13:$D$21,3,FALSE)</f>
        <v>1.255957717459173E-4</v>
      </c>
      <c r="AK68" s="232">
        <f>$AD68*VLOOKUP($AA68,'SKOR PPH'!$B$13:$D$21,3,FALSE)</f>
        <v>1.2072893559076299E-2</v>
      </c>
      <c r="AL68" s="232">
        <f>R68*VLOOKUP($AA68,'SKOR PPH'!$B$13:$D$21,3,FALSE)</f>
        <v>0.44982660816906161</v>
      </c>
      <c r="AM68" s="232">
        <f>S68*VLOOKUP($AA68,'SKOR PPH'!$B$13:$D$21,3,FALSE)</f>
        <v>9.5149763897455747E-2</v>
      </c>
      <c r="AN68" s="232">
        <f>T68*VLOOKUP($AA68,'SKOR PPH'!$B$13:$D$21,3,FALSE)</f>
        <v>3.5071227077587857E-3</v>
      </c>
      <c r="AO68" s="232">
        <f>U68*VLOOKUP($AA68,'SKOR PPH'!$B$13:$D$21,3,FALSE)</f>
        <v>2.7108194842579989E-3</v>
      </c>
      <c r="AP68" s="232">
        <f>$AE68*VLOOKUP($AA68,'SKOR PPH'!$B$13:$D$21,3,FALSE)</f>
        <v>0.26057752292430014</v>
      </c>
      <c r="AQ68" s="232">
        <f>W68*VLOOKUP($AA68,'SKOR PPH'!$B$13:$D$21,3,FALSE)</f>
        <v>0.47066765654314963</v>
      </c>
      <c r="AR68" s="232">
        <f>X68*VLOOKUP($AA68,'SKOR PPH'!$B$13:$D$21,3,FALSE)</f>
        <v>9.9558175485737407E-2</v>
      </c>
      <c r="AS68" s="232">
        <f>Y68*VLOOKUP($AA68,'SKOR PPH'!$B$13:$D$21,3,FALSE)</f>
        <v>3.6696122374550648E-3</v>
      </c>
      <c r="AT68" s="232">
        <f>Z68*VLOOKUP($AA68,'SKOR PPH'!$B$13:$D$21,3,FALSE)</f>
        <v>2.8364152560039148E-3</v>
      </c>
      <c r="AU68" s="232">
        <f>$AF68*VLOOKUP($AA68,'SKOR PPH'!$B$13:$D$21,3,FALSE)</f>
        <v>0.27265041648337629</v>
      </c>
    </row>
    <row r="69" spans="2:47" ht="15" customHeight="1" x14ac:dyDescent="0.2">
      <c r="B69" s="153" t="s">
        <v>33</v>
      </c>
      <c r="C69" s="154">
        <v>100</v>
      </c>
      <c r="D69" s="155">
        <v>357</v>
      </c>
      <c r="E69" s="244">
        <v>41.1</v>
      </c>
      <c r="F69" s="155">
        <v>10</v>
      </c>
      <c r="G69" s="262">
        <v>25.6</v>
      </c>
      <c r="H69" s="156" t="s">
        <v>36</v>
      </c>
      <c r="I69" s="311">
        <v>0</v>
      </c>
      <c r="J69" s="311">
        <v>0</v>
      </c>
      <c r="K69" s="311">
        <v>0</v>
      </c>
      <c r="L69" s="144">
        <f t="shared" si="89"/>
        <v>0</v>
      </c>
      <c r="M69" s="144">
        <f t="shared" si="90"/>
        <v>0</v>
      </c>
      <c r="N69" s="144">
        <f t="shared" si="91"/>
        <v>0</v>
      </c>
      <c r="O69" s="144">
        <f t="shared" si="92"/>
        <v>0</v>
      </c>
      <c r="P69" s="144">
        <f t="shared" si="93"/>
        <v>0</v>
      </c>
      <c r="Q69" s="144">
        <f t="shared" si="94"/>
        <v>0</v>
      </c>
      <c r="R69" s="144">
        <f t="shared" si="95"/>
        <v>0</v>
      </c>
      <c r="S69" s="144">
        <f t="shared" si="96"/>
        <v>0</v>
      </c>
      <c r="T69" s="144">
        <f t="shared" si="97"/>
        <v>0</v>
      </c>
      <c r="U69" s="144">
        <f t="shared" si="98"/>
        <v>0</v>
      </c>
      <c r="V69" s="338">
        <f t="shared" si="99"/>
        <v>0</v>
      </c>
      <c r="W69" s="338">
        <f t="shared" si="100"/>
        <v>0</v>
      </c>
      <c r="X69" s="338">
        <f t="shared" si="101"/>
        <v>0</v>
      </c>
      <c r="Y69" s="338">
        <f t="shared" si="102"/>
        <v>0</v>
      </c>
      <c r="Z69" s="338">
        <f t="shared" si="103"/>
        <v>0</v>
      </c>
      <c r="AA69" s="199">
        <v>3</v>
      </c>
      <c r="AB69" s="201">
        <v>13</v>
      </c>
      <c r="AC69" s="240">
        <v>1.538</v>
      </c>
      <c r="AD69" s="232">
        <f t="shared" si="104"/>
        <v>0</v>
      </c>
      <c r="AE69" s="232">
        <f t="shared" si="54"/>
        <v>0</v>
      </c>
      <c r="AF69" s="232">
        <f t="shared" si="55"/>
        <v>0</v>
      </c>
      <c r="AG69" s="232">
        <f>M69*VLOOKUP($AA69,'SKOR PPH'!$B$13:$D$21,3,FALSE)</f>
        <v>0</v>
      </c>
      <c r="AH69" s="232">
        <f>N69*VLOOKUP($AA69,'SKOR PPH'!$B$13:$D$21,3,FALSE)</f>
        <v>0</v>
      </c>
      <c r="AI69" s="232">
        <f>O69*VLOOKUP($AA69,'SKOR PPH'!$B$13:$D$21,3,FALSE)</f>
        <v>0</v>
      </c>
      <c r="AJ69" s="232">
        <f>P69*VLOOKUP($AA69,'SKOR PPH'!$B$13:$D$21,3,FALSE)</f>
        <v>0</v>
      </c>
      <c r="AK69" s="232">
        <f>$AD69*VLOOKUP($AA69,'SKOR PPH'!$B$13:$D$21,3,FALSE)</f>
        <v>0</v>
      </c>
      <c r="AL69" s="232">
        <f>R69*VLOOKUP($AA69,'SKOR PPH'!$B$13:$D$21,3,FALSE)</f>
        <v>0</v>
      </c>
      <c r="AM69" s="232">
        <f>S69*VLOOKUP($AA69,'SKOR PPH'!$B$13:$D$21,3,FALSE)</f>
        <v>0</v>
      </c>
      <c r="AN69" s="232">
        <f>T69*VLOOKUP($AA69,'SKOR PPH'!$B$13:$D$21,3,FALSE)</f>
        <v>0</v>
      </c>
      <c r="AO69" s="232">
        <f>U69*VLOOKUP($AA69,'SKOR PPH'!$B$13:$D$21,3,FALSE)</f>
        <v>0</v>
      </c>
      <c r="AP69" s="232">
        <f>$AE69*VLOOKUP($AA69,'SKOR PPH'!$B$13:$D$21,3,FALSE)</f>
        <v>0</v>
      </c>
      <c r="AQ69" s="232">
        <f>W69*VLOOKUP($AA69,'SKOR PPH'!$B$13:$D$21,3,FALSE)</f>
        <v>0</v>
      </c>
      <c r="AR69" s="232">
        <f>X69*VLOOKUP($AA69,'SKOR PPH'!$B$13:$D$21,3,FALSE)</f>
        <v>0</v>
      </c>
      <c r="AS69" s="232">
        <f>Y69*VLOOKUP($AA69,'SKOR PPH'!$B$13:$D$21,3,FALSE)</f>
        <v>0</v>
      </c>
      <c r="AT69" s="232">
        <f>Z69*VLOOKUP($AA69,'SKOR PPH'!$B$13:$D$21,3,FALSE)</f>
        <v>0</v>
      </c>
      <c r="AU69" s="232">
        <f>$AF69*VLOOKUP($AA69,'SKOR PPH'!$B$13:$D$21,3,FALSE)</f>
        <v>0</v>
      </c>
    </row>
    <row r="70" spans="2:47" ht="15" customHeight="1" x14ac:dyDescent="0.2">
      <c r="B70" s="159"/>
      <c r="C70" s="180"/>
      <c r="D70" s="181"/>
      <c r="E70" s="247"/>
      <c r="F70" s="181"/>
      <c r="G70" s="181"/>
      <c r="H70" s="265"/>
      <c r="I70" s="312"/>
      <c r="J70" s="312"/>
      <c r="K70" s="312"/>
      <c r="L70" s="182"/>
      <c r="M70" s="182"/>
      <c r="N70" s="182"/>
      <c r="O70" s="183"/>
      <c r="P70" s="183"/>
      <c r="Q70" s="182"/>
      <c r="R70" s="182"/>
      <c r="S70" s="182"/>
      <c r="T70" s="183"/>
      <c r="U70" s="183"/>
      <c r="V70" s="182"/>
      <c r="W70" s="182"/>
      <c r="X70" s="182"/>
      <c r="Y70" s="183"/>
      <c r="Z70" s="183"/>
      <c r="AA70" s="184"/>
      <c r="AB70" s="184"/>
      <c r="AC70" s="185"/>
      <c r="AD70" s="235"/>
      <c r="AE70" s="235"/>
      <c r="AF70" s="235"/>
      <c r="AG70" s="235"/>
      <c r="AH70" s="235"/>
      <c r="AI70" s="235"/>
      <c r="AJ70" s="235"/>
      <c r="AK70" s="235"/>
      <c r="AL70" s="235"/>
      <c r="AM70" s="235"/>
      <c r="AN70" s="235"/>
      <c r="AO70" s="235"/>
      <c r="AP70" s="235"/>
      <c r="AQ70" s="235"/>
      <c r="AR70" s="235"/>
      <c r="AS70" s="235"/>
      <c r="AT70" s="235"/>
      <c r="AU70" s="235"/>
    </row>
    <row r="71" spans="2:47" ht="15" customHeight="1" x14ac:dyDescent="0.2">
      <c r="B71" s="186" t="s">
        <v>41</v>
      </c>
      <c r="C71" s="187"/>
      <c r="D71" s="188"/>
      <c r="E71" s="248"/>
      <c r="F71" s="188"/>
      <c r="G71" s="188"/>
      <c r="H71" s="267"/>
      <c r="I71" s="314"/>
      <c r="J71" s="314"/>
      <c r="K71" s="314"/>
      <c r="L71" s="127"/>
      <c r="M71" s="127"/>
      <c r="N71" s="127"/>
      <c r="O71" s="189"/>
      <c r="P71" s="189"/>
      <c r="Q71" s="127"/>
      <c r="R71" s="127"/>
      <c r="S71" s="127"/>
      <c r="T71" s="189"/>
      <c r="U71" s="189"/>
      <c r="V71" s="127"/>
      <c r="W71" s="127"/>
      <c r="X71" s="127"/>
      <c r="Y71" s="189"/>
      <c r="Z71" s="189"/>
      <c r="AA71" s="190"/>
      <c r="AB71" s="190"/>
      <c r="AC71" s="191"/>
      <c r="AD71" s="236"/>
      <c r="AE71" s="236"/>
      <c r="AF71" s="236"/>
      <c r="AG71" s="236"/>
      <c r="AH71" s="236"/>
      <c r="AI71" s="236"/>
      <c r="AJ71" s="236"/>
      <c r="AK71" s="236"/>
      <c r="AL71" s="236"/>
      <c r="AM71" s="236"/>
      <c r="AN71" s="236"/>
      <c r="AO71" s="236"/>
      <c r="AP71" s="236"/>
      <c r="AQ71" s="236"/>
      <c r="AR71" s="236"/>
      <c r="AS71" s="236"/>
      <c r="AT71" s="236"/>
      <c r="AU71" s="236"/>
    </row>
    <row r="72" spans="2:47" ht="15" customHeight="1" x14ac:dyDescent="0.2">
      <c r="B72" s="192" t="s">
        <v>42</v>
      </c>
      <c r="C72" s="168"/>
      <c r="D72" s="169"/>
      <c r="E72" s="246"/>
      <c r="F72" s="169"/>
      <c r="G72" s="169"/>
      <c r="H72" s="266"/>
      <c r="I72" s="313"/>
      <c r="J72" s="313"/>
      <c r="K72" s="313"/>
      <c r="L72" s="170"/>
      <c r="M72" s="170"/>
      <c r="N72" s="170"/>
      <c r="O72" s="171"/>
      <c r="P72" s="171"/>
      <c r="Q72" s="170"/>
      <c r="R72" s="170"/>
      <c r="S72" s="170"/>
      <c r="T72" s="171"/>
      <c r="U72" s="171"/>
      <c r="V72" s="170"/>
      <c r="W72" s="170"/>
      <c r="X72" s="170"/>
      <c r="Y72" s="171"/>
      <c r="Z72" s="171"/>
      <c r="AA72" s="172"/>
      <c r="AB72" s="172"/>
      <c r="AC72" s="173"/>
      <c r="AD72" s="234"/>
      <c r="AE72" s="234"/>
      <c r="AF72" s="234"/>
      <c r="AG72" s="234"/>
      <c r="AH72" s="234"/>
      <c r="AI72" s="234"/>
      <c r="AJ72" s="234"/>
      <c r="AK72" s="234"/>
      <c r="AL72" s="234"/>
      <c r="AM72" s="234"/>
      <c r="AN72" s="234"/>
      <c r="AO72" s="234"/>
      <c r="AP72" s="234"/>
      <c r="AQ72" s="234"/>
      <c r="AR72" s="234"/>
      <c r="AS72" s="234"/>
      <c r="AT72" s="234"/>
      <c r="AU72" s="234"/>
    </row>
    <row r="73" spans="2:47" ht="15" customHeight="1" x14ac:dyDescent="0.2">
      <c r="B73" s="204" t="s">
        <v>43</v>
      </c>
      <c r="C73" s="205">
        <v>1000</v>
      </c>
      <c r="D73" s="142">
        <v>2070</v>
      </c>
      <c r="E73" s="242">
        <v>188</v>
      </c>
      <c r="F73" s="142">
        <v>140</v>
      </c>
      <c r="G73" s="260">
        <v>0</v>
      </c>
      <c r="H73" s="206" t="s">
        <v>200</v>
      </c>
      <c r="I73" s="311">
        <v>1.4241094100508563E-3</v>
      </c>
      <c r="J73" s="311">
        <v>1.3251634910717709E-4</v>
      </c>
      <c r="K73" s="311">
        <v>1.5566257591580336E-3</v>
      </c>
      <c r="L73" s="144">
        <f t="shared" ref="L73:L80" si="105">$I73*C73/7</f>
        <v>0.20344420143583664</v>
      </c>
      <c r="M73" s="144">
        <f t="shared" ref="M73:M80" si="106">$I73*D73/7</f>
        <v>0.42112949697218177</v>
      </c>
      <c r="N73" s="144">
        <f t="shared" ref="N73:N80" si="107">$I73*E73/7</f>
        <v>3.8247509869937288E-2</v>
      </c>
      <c r="O73" s="144">
        <f t="shared" ref="O73:O80" si="108">$I73*F73/7</f>
        <v>2.8482188201017129E-2</v>
      </c>
      <c r="P73" s="144">
        <f t="shared" ref="P73:P80" si="109">$I73*G73/7</f>
        <v>0</v>
      </c>
      <c r="Q73" s="144">
        <f t="shared" ref="Q73:Q80" si="110">$J73*C73/7</f>
        <v>1.893090701531101E-2</v>
      </c>
      <c r="R73" s="144">
        <f t="shared" ref="R73:R80" si="111">$J73*D73/7</f>
        <v>3.9186977521693797E-2</v>
      </c>
      <c r="S73" s="144">
        <f t="shared" ref="S73:S80" si="112">$J73*E73/7</f>
        <v>3.5590105188784702E-3</v>
      </c>
      <c r="T73" s="144">
        <f t="shared" ref="T73:T80" si="113">$J73*F73/7</f>
        <v>2.6503269821435416E-3</v>
      </c>
      <c r="U73" s="144">
        <f t="shared" ref="U73:U80" si="114">$J73*G73/7</f>
        <v>0</v>
      </c>
      <c r="V73" s="338">
        <f t="shared" ref="V73:V80" si="115">$K73*C73/7</f>
        <v>0.22237510845114766</v>
      </c>
      <c r="W73" s="338">
        <f t="shared" ref="W73:W80" si="116">$K73*D73/7</f>
        <v>0.46031647449387564</v>
      </c>
      <c r="X73" s="338">
        <f t="shared" ref="X73:X80" si="117">$K73*E73/7</f>
        <v>4.1806520388815764E-2</v>
      </c>
      <c r="Y73" s="338">
        <f t="shared" ref="Y73:Y80" si="118">$K73*F73/7</f>
        <v>3.1132515183160674E-2</v>
      </c>
      <c r="Z73" s="338">
        <f t="shared" ref="Z73:Z80" si="119">$K73*G73/7</f>
        <v>0</v>
      </c>
      <c r="AA73" s="199">
        <v>3</v>
      </c>
      <c r="AB73" s="200">
        <v>9</v>
      </c>
      <c r="AC73" s="177">
        <v>1</v>
      </c>
      <c r="AD73" s="232">
        <f t="shared" ref="AD73:AD80" si="120">$L73*$AC73</f>
        <v>0.20344420143583664</v>
      </c>
      <c r="AE73" s="232">
        <f t="shared" ref="AE73:AE80" si="121">$Q73*$AC73</f>
        <v>1.893090701531101E-2</v>
      </c>
      <c r="AF73" s="232">
        <f t="shared" ref="AF73:AF80" si="122">$V73*$AC73</f>
        <v>0.22237510845114766</v>
      </c>
      <c r="AG73" s="232">
        <f>M73*VLOOKUP($AA73,'SKOR PPH'!$B$13:$D$21,3,FALSE)</f>
        <v>0.45625169701966167</v>
      </c>
      <c r="AH73" s="232">
        <f>N73*VLOOKUP($AA73,'SKOR PPH'!$B$13:$D$21,3,FALSE)</f>
        <v>4.1437352193090055E-2</v>
      </c>
      <c r="AI73" s="232">
        <f>O73*VLOOKUP($AA73,'SKOR PPH'!$B$13:$D$21,3,FALSE)</f>
        <v>3.0857602696981956E-2</v>
      </c>
      <c r="AJ73" s="232">
        <f>P73*VLOOKUP($AA73,'SKOR PPH'!$B$13:$D$21,3,FALSE)</f>
        <v>0</v>
      </c>
      <c r="AK73" s="232">
        <f>$AD73*VLOOKUP($AA73,'SKOR PPH'!$B$13:$D$21,3,FALSE)</f>
        <v>0.22041144783558539</v>
      </c>
      <c r="AL73" s="232">
        <f>R73*VLOOKUP($AA73,'SKOR PPH'!$B$13:$D$21,3,FALSE)</f>
        <v>4.2455171447003059E-2</v>
      </c>
      <c r="AM73" s="232">
        <f>S73*VLOOKUP($AA73,'SKOR PPH'!$B$13:$D$21,3,FALSE)</f>
        <v>3.8558319961529341E-3</v>
      </c>
      <c r="AN73" s="232">
        <f>T73*VLOOKUP($AA73,'SKOR PPH'!$B$13:$D$21,3,FALSE)</f>
        <v>2.8713642524543126E-3</v>
      </c>
      <c r="AO73" s="232">
        <f>U73*VLOOKUP($AA73,'SKOR PPH'!$B$13:$D$21,3,FALSE)</f>
        <v>0</v>
      </c>
      <c r="AP73" s="232">
        <f>$AE73*VLOOKUP($AA73,'SKOR PPH'!$B$13:$D$21,3,FALSE)</f>
        <v>2.0509744660387946E-2</v>
      </c>
      <c r="AQ73" s="232">
        <f>W73*VLOOKUP($AA73,'SKOR PPH'!$B$13:$D$21,3,FALSE)</f>
        <v>0.49870686846666484</v>
      </c>
      <c r="AR73" s="232">
        <f>X73*VLOOKUP($AA73,'SKOR PPH'!$B$13:$D$21,3,FALSE)</f>
        <v>4.5293184189242996E-2</v>
      </c>
      <c r="AS73" s="232">
        <f>Y73*VLOOKUP($AA73,'SKOR PPH'!$B$13:$D$21,3,FALSE)</f>
        <v>3.3728966949436272E-2</v>
      </c>
      <c r="AT73" s="232">
        <f>Z73*VLOOKUP($AA73,'SKOR PPH'!$B$13:$D$21,3,FALSE)</f>
        <v>0</v>
      </c>
      <c r="AU73" s="232">
        <f>$AF73*VLOOKUP($AA73,'SKOR PPH'!$B$13:$D$21,3,FALSE)</f>
        <v>0.24092119249597335</v>
      </c>
    </row>
    <row r="74" spans="2:47" ht="15" customHeight="1" x14ac:dyDescent="0.2">
      <c r="B74" s="199" t="s">
        <v>44</v>
      </c>
      <c r="C74" s="207">
        <v>1000</v>
      </c>
      <c r="D74" s="149">
        <v>840</v>
      </c>
      <c r="E74" s="243">
        <v>187</v>
      </c>
      <c r="F74" s="149">
        <v>5</v>
      </c>
      <c r="G74" s="261">
        <v>0</v>
      </c>
      <c r="H74" s="208" t="s">
        <v>200</v>
      </c>
      <c r="I74" s="311">
        <v>0</v>
      </c>
      <c r="J74" s="311">
        <v>0</v>
      </c>
      <c r="K74" s="311">
        <v>0</v>
      </c>
      <c r="L74" s="144">
        <f t="shared" si="105"/>
        <v>0</v>
      </c>
      <c r="M74" s="144">
        <f t="shared" si="106"/>
        <v>0</v>
      </c>
      <c r="N74" s="144">
        <f t="shared" si="107"/>
        <v>0</v>
      </c>
      <c r="O74" s="144">
        <f t="shared" si="108"/>
        <v>0</v>
      </c>
      <c r="P74" s="144">
        <f t="shared" si="109"/>
        <v>0</v>
      </c>
      <c r="Q74" s="144">
        <f t="shared" si="110"/>
        <v>0</v>
      </c>
      <c r="R74" s="144">
        <f t="shared" si="111"/>
        <v>0</v>
      </c>
      <c r="S74" s="144">
        <f t="shared" si="112"/>
        <v>0</v>
      </c>
      <c r="T74" s="144">
        <f t="shared" si="113"/>
        <v>0</v>
      </c>
      <c r="U74" s="144">
        <f t="shared" si="114"/>
        <v>0</v>
      </c>
      <c r="V74" s="338">
        <f t="shared" si="115"/>
        <v>0</v>
      </c>
      <c r="W74" s="338">
        <f t="shared" si="116"/>
        <v>0</v>
      </c>
      <c r="X74" s="338">
        <f t="shared" si="117"/>
        <v>0</v>
      </c>
      <c r="Y74" s="338">
        <f t="shared" si="118"/>
        <v>0</v>
      </c>
      <c r="Z74" s="338">
        <f t="shared" si="119"/>
        <v>0</v>
      </c>
      <c r="AA74" s="199">
        <v>3</v>
      </c>
      <c r="AB74" s="201">
        <v>9</v>
      </c>
      <c r="AC74" s="177">
        <v>1</v>
      </c>
      <c r="AD74" s="232">
        <f t="shared" si="120"/>
        <v>0</v>
      </c>
      <c r="AE74" s="232">
        <f t="shared" si="121"/>
        <v>0</v>
      </c>
      <c r="AF74" s="232">
        <f t="shared" si="122"/>
        <v>0</v>
      </c>
      <c r="AG74" s="232">
        <f>M74*VLOOKUP($AA74,'SKOR PPH'!$B$13:$D$21,3,FALSE)</f>
        <v>0</v>
      </c>
      <c r="AH74" s="232">
        <f>N74*VLOOKUP($AA74,'SKOR PPH'!$B$13:$D$21,3,FALSE)</f>
        <v>0</v>
      </c>
      <c r="AI74" s="232">
        <f>O74*VLOOKUP($AA74,'SKOR PPH'!$B$13:$D$21,3,FALSE)</f>
        <v>0</v>
      </c>
      <c r="AJ74" s="232">
        <f>P74*VLOOKUP($AA74,'SKOR PPH'!$B$13:$D$21,3,FALSE)</f>
        <v>0</v>
      </c>
      <c r="AK74" s="232">
        <f>$AD74*VLOOKUP($AA74,'SKOR PPH'!$B$13:$D$21,3,FALSE)</f>
        <v>0</v>
      </c>
      <c r="AL74" s="232">
        <f>R74*VLOOKUP($AA74,'SKOR PPH'!$B$13:$D$21,3,FALSE)</f>
        <v>0</v>
      </c>
      <c r="AM74" s="232">
        <f>S74*VLOOKUP($AA74,'SKOR PPH'!$B$13:$D$21,3,FALSE)</f>
        <v>0</v>
      </c>
      <c r="AN74" s="232">
        <f>T74*VLOOKUP($AA74,'SKOR PPH'!$B$13:$D$21,3,FALSE)</f>
        <v>0</v>
      </c>
      <c r="AO74" s="232">
        <f>U74*VLOOKUP($AA74,'SKOR PPH'!$B$13:$D$21,3,FALSE)</f>
        <v>0</v>
      </c>
      <c r="AP74" s="232">
        <f>$AE74*VLOOKUP($AA74,'SKOR PPH'!$B$13:$D$21,3,FALSE)</f>
        <v>0</v>
      </c>
      <c r="AQ74" s="232">
        <f>W74*VLOOKUP($AA74,'SKOR PPH'!$B$13:$D$21,3,FALSE)</f>
        <v>0</v>
      </c>
      <c r="AR74" s="232">
        <f>X74*VLOOKUP($AA74,'SKOR PPH'!$B$13:$D$21,3,FALSE)</f>
        <v>0</v>
      </c>
      <c r="AS74" s="232">
        <f>Y74*VLOOKUP($AA74,'SKOR PPH'!$B$13:$D$21,3,FALSE)</f>
        <v>0</v>
      </c>
      <c r="AT74" s="232">
        <f>Z74*VLOOKUP($AA74,'SKOR PPH'!$B$13:$D$21,3,FALSE)</f>
        <v>0</v>
      </c>
      <c r="AU74" s="232">
        <f>$AF74*VLOOKUP($AA74,'SKOR PPH'!$B$13:$D$21,3,FALSE)</f>
        <v>0</v>
      </c>
    </row>
    <row r="75" spans="2:47" ht="15" customHeight="1" x14ac:dyDescent="0.2">
      <c r="B75" s="199" t="s">
        <v>45</v>
      </c>
      <c r="C75" s="207">
        <v>1000</v>
      </c>
      <c r="D75" s="149">
        <v>1540</v>
      </c>
      <c r="E75" s="243">
        <v>166</v>
      </c>
      <c r="F75" s="149">
        <v>92</v>
      </c>
      <c r="G75" s="261">
        <v>0</v>
      </c>
      <c r="H75" s="208" t="s">
        <v>200</v>
      </c>
      <c r="I75" s="311">
        <v>0</v>
      </c>
      <c r="J75" s="311">
        <v>0</v>
      </c>
      <c r="K75" s="311">
        <v>0</v>
      </c>
      <c r="L75" s="144">
        <f t="shared" si="105"/>
        <v>0</v>
      </c>
      <c r="M75" s="144">
        <f t="shared" si="106"/>
        <v>0</v>
      </c>
      <c r="N75" s="144">
        <f t="shared" si="107"/>
        <v>0</v>
      </c>
      <c r="O75" s="144">
        <f t="shared" si="108"/>
        <v>0</v>
      </c>
      <c r="P75" s="144">
        <f t="shared" si="109"/>
        <v>0</v>
      </c>
      <c r="Q75" s="144">
        <f t="shared" si="110"/>
        <v>0</v>
      </c>
      <c r="R75" s="144">
        <f t="shared" si="111"/>
        <v>0</v>
      </c>
      <c r="S75" s="144">
        <f t="shared" si="112"/>
        <v>0</v>
      </c>
      <c r="T75" s="144">
        <f t="shared" si="113"/>
        <v>0</v>
      </c>
      <c r="U75" s="144">
        <f t="shared" si="114"/>
        <v>0</v>
      </c>
      <c r="V75" s="338">
        <f t="shared" si="115"/>
        <v>0</v>
      </c>
      <c r="W75" s="338">
        <f t="shared" si="116"/>
        <v>0</v>
      </c>
      <c r="X75" s="338">
        <f t="shared" si="117"/>
        <v>0</v>
      </c>
      <c r="Y75" s="338">
        <f t="shared" si="118"/>
        <v>0</v>
      </c>
      <c r="Z75" s="338">
        <f t="shared" si="119"/>
        <v>0</v>
      </c>
      <c r="AA75" s="199">
        <v>3</v>
      </c>
      <c r="AB75" s="201">
        <v>9</v>
      </c>
      <c r="AC75" s="177">
        <v>1</v>
      </c>
      <c r="AD75" s="232">
        <f t="shared" si="120"/>
        <v>0</v>
      </c>
      <c r="AE75" s="232">
        <f t="shared" si="121"/>
        <v>0</v>
      </c>
      <c r="AF75" s="232">
        <f t="shared" si="122"/>
        <v>0</v>
      </c>
      <c r="AG75" s="232">
        <f>M75*VLOOKUP($AA75,'SKOR PPH'!$B$13:$D$21,3,FALSE)</f>
        <v>0</v>
      </c>
      <c r="AH75" s="232">
        <f>N75*VLOOKUP($AA75,'SKOR PPH'!$B$13:$D$21,3,FALSE)</f>
        <v>0</v>
      </c>
      <c r="AI75" s="232">
        <f>O75*VLOOKUP($AA75,'SKOR PPH'!$B$13:$D$21,3,FALSE)</f>
        <v>0</v>
      </c>
      <c r="AJ75" s="232">
        <f>P75*VLOOKUP($AA75,'SKOR PPH'!$B$13:$D$21,3,FALSE)</f>
        <v>0</v>
      </c>
      <c r="AK75" s="232">
        <f>$AD75*VLOOKUP($AA75,'SKOR PPH'!$B$13:$D$21,3,FALSE)</f>
        <v>0</v>
      </c>
      <c r="AL75" s="232">
        <f>R75*VLOOKUP($AA75,'SKOR PPH'!$B$13:$D$21,3,FALSE)</f>
        <v>0</v>
      </c>
      <c r="AM75" s="232">
        <f>S75*VLOOKUP($AA75,'SKOR PPH'!$B$13:$D$21,3,FALSE)</f>
        <v>0</v>
      </c>
      <c r="AN75" s="232">
        <f>T75*VLOOKUP($AA75,'SKOR PPH'!$B$13:$D$21,3,FALSE)</f>
        <v>0</v>
      </c>
      <c r="AO75" s="232">
        <f>U75*VLOOKUP($AA75,'SKOR PPH'!$B$13:$D$21,3,FALSE)</f>
        <v>0</v>
      </c>
      <c r="AP75" s="232">
        <f>$AE75*VLOOKUP($AA75,'SKOR PPH'!$B$13:$D$21,3,FALSE)</f>
        <v>0</v>
      </c>
      <c r="AQ75" s="232">
        <f>W75*VLOOKUP($AA75,'SKOR PPH'!$B$13:$D$21,3,FALSE)</f>
        <v>0</v>
      </c>
      <c r="AR75" s="232">
        <f>X75*VLOOKUP($AA75,'SKOR PPH'!$B$13:$D$21,3,FALSE)</f>
        <v>0</v>
      </c>
      <c r="AS75" s="232">
        <f>Y75*VLOOKUP($AA75,'SKOR PPH'!$B$13:$D$21,3,FALSE)</f>
        <v>0</v>
      </c>
      <c r="AT75" s="232">
        <f>Z75*VLOOKUP($AA75,'SKOR PPH'!$B$13:$D$21,3,FALSE)</f>
        <v>0</v>
      </c>
      <c r="AU75" s="232">
        <f>$AF75*VLOOKUP($AA75,'SKOR PPH'!$B$13:$D$21,3,FALSE)</f>
        <v>0</v>
      </c>
    </row>
    <row r="76" spans="2:47" ht="15" customHeight="1" x14ac:dyDescent="0.2">
      <c r="B76" s="199" t="s">
        <v>46</v>
      </c>
      <c r="C76" s="207">
        <v>1000</v>
      </c>
      <c r="D76" s="149">
        <v>4165</v>
      </c>
      <c r="E76" s="243">
        <v>130</v>
      </c>
      <c r="F76" s="149">
        <v>400</v>
      </c>
      <c r="G76" s="261">
        <v>0</v>
      </c>
      <c r="H76" s="208" t="s">
        <v>200</v>
      </c>
      <c r="I76" s="311">
        <v>0</v>
      </c>
      <c r="J76" s="311">
        <v>0</v>
      </c>
      <c r="K76" s="311">
        <v>0</v>
      </c>
      <c r="L76" s="144">
        <f t="shared" si="105"/>
        <v>0</v>
      </c>
      <c r="M76" s="144">
        <f t="shared" si="106"/>
        <v>0</v>
      </c>
      <c r="N76" s="144">
        <f t="shared" si="107"/>
        <v>0</v>
      </c>
      <c r="O76" s="144">
        <f t="shared" si="108"/>
        <v>0</v>
      </c>
      <c r="P76" s="144">
        <f t="shared" si="109"/>
        <v>0</v>
      </c>
      <c r="Q76" s="144">
        <f t="shared" si="110"/>
        <v>0</v>
      </c>
      <c r="R76" s="144">
        <f t="shared" si="111"/>
        <v>0</v>
      </c>
      <c r="S76" s="144">
        <f t="shared" si="112"/>
        <v>0</v>
      </c>
      <c r="T76" s="144">
        <f t="shared" si="113"/>
        <v>0</v>
      </c>
      <c r="U76" s="144">
        <f t="shared" si="114"/>
        <v>0</v>
      </c>
      <c r="V76" s="338">
        <f t="shared" si="115"/>
        <v>0</v>
      </c>
      <c r="W76" s="338">
        <f t="shared" si="116"/>
        <v>0</v>
      </c>
      <c r="X76" s="338">
        <f t="shared" si="117"/>
        <v>0</v>
      </c>
      <c r="Y76" s="338">
        <f t="shared" si="118"/>
        <v>0</v>
      </c>
      <c r="Z76" s="338">
        <f t="shared" si="119"/>
        <v>0</v>
      </c>
      <c r="AA76" s="199">
        <v>3</v>
      </c>
      <c r="AB76" s="201">
        <v>9</v>
      </c>
      <c r="AC76" s="177">
        <v>1</v>
      </c>
      <c r="AD76" s="232">
        <f t="shared" si="120"/>
        <v>0</v>
      </c>
      <c r="AE76" s="232">
        <f t="shared" si="121"/>
        <v>0</v>
      </c>
      <c r="AF76" s="232">
        <f t="shared" si="122"/>
        <v>0</v>
      </c>
      <c r="AG76" s="232">
        <f>M76*VLOOKUP($AA76,'SKOR PPH'!$B$13:$D$21,3,FALSE)</f>
        <v>0</v>
      </c>
      <c r="AH76" s="232">
        <f>N76*VLOOKUP($AA76,'SKOR PPH'!$B$13:$D$21,3,FALSE)</f>
        <v>0</v>
      </c>
      <c r="AI76" s="232">
        <f>O76*VLOOKUP($AA76,'SKOR PPH'!$B$13:$D$21,3,FALSE)</f>
        <v>0</v>
      </c>
      <c r="AJ76" s="232">
        <f>P76*VLOOKUP($AA76,'SKOR PPH'!$B$13:$D$21,3,FALSE)</f>
        <v>0</v>
      </c>
      <c r="AK76" s="232">
        <f>$AD76*VLOOKUP($AA76,'SKOR PPH'!$B$13:$D$21,3,FALSE)</f>
        <v>0</v>
      </c>
      <c r="AL76" s="232">
        <f>R76*VLOOKUP($AA76,'SKOR PPH'!$B$13:$D$21,3,FALSE)</f>
        <v>0</v>
      </c>
      <c r="AM76" s="232">
        <f>S76*VLOOKUP($AA76,'SKOR PPH'!$B$13:$D$21,3,FALSE)</f>
        <v>0</v>
      </c>
      <c r="AN76" s="232">
        <f>T76*VLOOKUP($AA76,'SKOR PPH'!$B$13:$D$21,3,FALSE)</f>
        <v>0</v>
      </c>
      <c r="AO76" s="232">
        <f>U76*VLOOKUP($AA76,'SKOR PPH'!$B$13:$D$21,3,FALSE)</f>
        <v>0</v>
      </c>
      <c r="AP76" s="232">
        <f>$AE76*VLOOKUP($AA76,'SKOR PPH'!$B$13:$D$21,3,FALSE)</f>
        <v>0</v>
      </c>
      <c r="AQ76" s="232">
        <f>W76*VLOOKUP($AA76,'SKOR PPH'!$B$13:$D$21,3,FALSE)</f>
        <v>0</v>
      </c>
      <c r="AR76" s="232">
        <f>X76*VLOOKUP($AA76,'SKOR PPH'!$B$13:$D$21,3,FALSE)</f>
        <v>0</v>
      </c>
      <c r="AS76" s="232">
        <f>Y76*VLOOKUP($AA76,'SKOR PPH'!$B$13:$D$21,3,FALSE)</f>
        <v>0</v>
      </c>
      <c r="AT76" s="232">
        <f>Z76*VLOOKUP($AA76,'SKOR PPH'!$B$13:$D$21,3,FALSE)</f>
        <v>0</v>
      </c>
      <c r="AU76" s="232">
        <f>$AF76*VLOOKUP($AA76,'SKOR PPH'!$B$13:$D$21,3,FALSE)</f>
        <v>0</v>
      </c>
    </row>
    <row r="77" spans="2:47" ht="15" customHeight="1" x14ac:dyDescent="0.2">
      <c r="B77" s="199" t="s">
        <v>47</v>
      </c>
      <c r="C77" s="207">
        <v>1000</v>
      </c>
      <c r="D77" s="149">
        <v>3020</v>
      </c>
      <c r="E77" s="243">
        <v>182</v>
      </c>
      <c r="F77" s="149">
        <v>250</v>
      </c>
      <c r="G77" s="261">
        <v>0</v>
      </c>
      <c r="H77" s="208" t="s">
        <v>200</v>
      </c>
      <c r="I77" s="311">
        <v>1.4774470976530207E-2</v>
      </c>
      <c r="J77" s="311">
        <v>4.9351090768817531E-2</v>
      </c>
      <c r="K77" s="311">
        <v>6.4125561745347753E-2</v>
      </c>
      <c r="L77" s="144">
        <f t="shared" si="105"/>
        <v>2.1106387109328866</v>
      </c>
      <c r="M77" s="144">
        <f t="shared" si="106"/>
        <v>6.3741289070173179</v>
      </c>
      <c r="N77" s="144">
        <f t="shared" si="107"/>
        <v>0.38413624538978536</v>
      </c>
      <c r="O77" s="144">
        <f t="shared" si="108"/>
        <v>0.52765967773322164</v>
      </c>
      <c r="P77" s="144">
        <f t="shared" si="109"/>
        <v>0</v>
      </c>
      <c r="Q77" s="144">
        <f t="shared" si="110"/>
        <v>7.0501558241167901</v>
      </c>
      <c r="R77" s="144">
        <f t="shared" si="111"/>
        <v>21.291470588832706</v>
      </c>
      <c r="S77" s="144">
        <f t="shared" si="112"/>
        <v>1.2831283599892558</v>
      </c>
      <c r="T77" s="144">
        <f t="shared" si="113"/>
        <v>1.7625389560291975</v>
      </c>
      <c r="U77" s="144">
        <f t="shared" si="114"/>
        <v>0</v>
      </c>
      <c r="V77" s="338">
        <f t="shared" si="115"/>
        <v>9.1607945350496784</v>
      </c>
      <c r="W77" s="338">
        <f t="shared" si="116"/>
        <v>27.665599495850028</v>
      </c>
      <c r="X77" s="338">
        <f t="shared" si="117"/>
        <v>1.6672646053790416</v>
      </c>
      <c r="Y77" s="338">
        <f t="shared" si="118"/>
        <v>2.2901986337624196</v>
      </c>
      <c r="Z77" s="338">
        <f t="shared" si="119"/>
        <v>0</v>
      </c>
      <c r="AA77" s="199">
        <v>3</v>
      </c>
      <c r="AB77" s="201">
        <v>10</v>
      </c>
      <c r="AC77" s="177">
        <v>1</v>
      </c>
      <c r="AD77" s="232">
        <f t="shared" si="120"/>
        <v>2.1106387109328866</v>
      </c>
      <c r="AE77" s="232">
        <f t="shared" si="121"/>
        <v>7.0501558241167901</v>
      </c>
      <c r="AF77" s="232">
        <f t="shared" si="122"/>
        <v>9.1607945350496784</v>
      </c>
      <c r="AG77" s="232">
        <f>M77*VLOOKUP($AA77,'SKOR PPH'!$B$13:$D$21,3,FALSE)</f>
        <v>6.9057312578625618</v>
      </c>
      <c r="AH77" s="232">
        <f>N77*VLOOKUP($AA77,'SKOR PPH'!$B$13:$D$21,3,FALSE)</f>
        <v>0.41617320825529341</v>
      </c>
      <c r="AI77" s="232">
        <f>O77*VLOOKUP($AA77,'SKOR PPH'!$B$13:$D$21,3,FALSE)</f>
        <v>0.57166649485617227</v>
      </c>
      <c r="AJ77" s="232">
        <f>P77*VLOOKUP($AA77,'SKOR PPH'!$B$13:$D$21,3,FALSE)</f>
        <v>0</v>
      </c>
      <c r="AK77" s="232">
        <f>$AD77*VLOOKUP($AA77,'SKOR PPH'!$B$13:$D$21,3,FALSE)</f>
        <v>2.2866659794246891</v>
      </c>
      <c r="AL77" s="232">
        <f>R77*VLOOKUP($AA77,'SKOR PPH'!$B$13:$D$21,3,FALSE)</f>
        <v>23.067179235941353</v>
      </c>
      <c r="AM77" s="232">
        <f>S77*VLOOKUP($AA77,'SKOR PPH'!$B$13:$D$21,3,FALSE)</f>
        <v>1.3901412652123597</v>
      </c>
      <c r="AN77" s="232">
        <f>T77*VLOOKUP($AA77,'SKOR PPH'!$B$13:$D$21,3,FALSE)</f>
        <v>1.9095347049620324</v>
      </c>
      <c r="AO77" s="232">
        <f>U77*VLOOKUP($AA77,'SKOR PPH'!$B$13:$D$21,3,FALSE)</f>
        <v>0</v>
      </c>
      <c r="AP77" s="232">
        <f>$AE77*VLOOKUP($AA77,'SKOR PPH'!$B$13:$D$21,3,FALSE)</f>
        <v>7.6381388198481295</v>
      </c>
      <c r="AQ77" s="232">
        <f>W77*VLOOKUP($AA77,'SKOR PPH'!$B$13:$D$21,3,FALSE)</f>
        <v>29.972910493803919</v>
      </c>
      <c r="AR77" s="232">
        <f>X77*VLOOKUP($AA77,'SKOR PPH'!$B$13:$D$21,3,FALSE)</f>
        <v>1.8063144734676535</v>
      </c>
      <c r="AS77" s="232">
        <f>Y77*VLOOKUP($AA77,'SKOR PPH'!$B$13:$D$21,3,FALSE)</f>
        <v>2.4812011998182051</v>
      </c>
      <c r="AT77" s="232">
        <f>Z77*VLOOKUP($AA77,'SKOR PPH'!$B$13:$D$21,3,FALSE)</f>
        <v>0</v>
      </c>
      <c r="AU77" s="232">
        <f>$AF77*VLOOKUP($AA77,'SKOR PPH'!$B$13:$D$21,3,FALSE)</f>
        <v>9.9248047992728203</v>
      </c>
    </row>
    <row r="78" spans="2:47" ht="15" customHeight="1" x14ac:dyDescent="0.2">
      <c r="B78" s="199" t="s">
        <v>48</v>
      </c>
      <c r="C78" s="207">
        <v>1000</v>
      </c>
      <c r="D78" s="149">
        <v>3020</v>
      </c>
      <c r="E78" s="243">
        <v>182</v>
      </c>
      <c r="F78" s="149">
        <v>250</v>
      </c>
      <c r="G78" s="261">
        <v>0</v>
      </c>
      <c r="H78" s="208" t="s">
        <v>200</v>
      </c>
      <c r="I78" s="311">
        <v>4.6967405569280004E-4</v>
      </c>
      <c r="J78" s="311">
        <v>5.1092132900323901E-3</v>
      </c>
      <c r="K78" s="311">
        <v>5.5788873457251901E-3</v>
      </c>
      <c r="L78" s="144">
        <f t="shared" si="105"/>
        <v>6.7096293670400001E-2</v>
      </c>
      <c r="M78" s="144">
        <f t="shared" si="106"/>
        <v>0.20263080688460802</v>
      </c>
      <c r="N78" s="144">
        <f t="shared" si="107"/>
        <v>1.22115254480128E-2</v>
      </c>
      <c r="O78" s="144">
        <f t="shared" si="108"/>
        <v>1.67740734176E-2</v>
      </c>
      <c r="P78" s="144">
        <f t="shared" si="109"/>
        <v>0</v>
      </c>
      <c r="Q78" s="144">
        <f t="shared" si="110"/>
        <v>0.72988761286176995</v>
      </c>
      <c r="R78" s="144">
        <f t="shared" si="111"/>
        <v>2.2042605908425452</v>
      </c>
      <c r="S78" s="144">
        <f t="shared" si="112"/>
        <v>0.13283954554084215</v>
      </c>
      <c r="T78" s="144">
        <f t="shared" si="113"/>
        <v>0.18247190321544249</v>
      </c>
      <c r="U78" s="144">
        <f t="shared" si="114"/>
        <v>0</v>
      </c>
      <c r="V78" s="338">
        <f t="shared" si="115"/>
        <v>0.79698390653216999</v>
      </c>
      <c r="W78" s="338">
        <f t="shared" si="116"/>
        <v>2.4068913977271533</v>
      </c>
      <c r="X78" s="338">
        <f t="shared" si="117"/>
        <v>0.14505107098885492</v>
      </c>
      <c r="Y78" s="338">
        <f t="shared" si="118"/>
        <v>0.1992459766330425</v>
      </c>
      <c r="Z78" s="338">
        <f t="shared" si="119"/>
        <v>0</v>
      </c>
      <c r="AA78" s="199">
        <v>3</v>
      </c>
      <c r="AB78" s="201">
        <v>10</v>
      </c>
      <c r="AC78" s="177">
        <v>1</v>
      </c>
      <c r="AD78" s="232">
        <f t="shared" si="120"/>
        <v>6.7096293670400001E-2</v>
      </c>
      <c r="AE78" s="232">
        <f t="shared" si="121"/>
        <v>0.72988761286176995</v>
      </c>
      <c r="AF78" s="232">
        <f t="shared" si="122"/>
        <v>0.79698390653216999</v>
      </c>
      <c r="AG78" s="232">
        <f>M78*VLOOKUP($AA78,'SKOR PPH'!$B$13:$D$21,3,FALSE)</f>
        <v>0.21953021617878432</v>
      </c>
      <c r="AH78" s="232">
        <f>N78*VLOOKUP($AA78,'SKOR PPH'!$B$13:$D$21,3,FALSE)</f>
        <v>1.3229966670377066E-2</v>
      </c>
      <c r="AI78" s="232">
        <f>O78*VLOOKUP($AA78,'SKOR PPH'!$B$13:$D$21,3,FALSE)</f>
        <v>1.8173031140627838E-2</v>
      </c>
      <c r="AJ78" s="232">
        <f>P78*VLOOKUP($AA78,'SKOR PPH'!$B$13:$D$21,3,FALSE)</f>
        <v>0</v>
      </c>
      <c r="AK78" s="232">
        <f>$AD78*VLOOKUP($AA78,'SKOR PPH'!$B$13:$D$21,3,FALSE)</f>
        <v>7.2692124562511354E-2</v>
      </c>
      <c r="AL78" s="232">
        <f>R78*VLOOKUP($AA78,'SKOR PPH'!$B$13:$D$21,3,FALSE)</f>
        <v>2.3880959241188133</v>
      </c>
      <c r="AM78" s="232">
        <f>S78*VLOOKUP($AA78,'SKOR PPH'!$B$13:$D$21,3,FALSE)</f>
        <v>0.14391836363894839</v>
      </c>
      <c r="AN78" s="232">
        <f>T78*VLOOKUP($AA78,'SKOR PPH'!$B$13:$D$21,3,FALSE)</f>
        <v>0.19769005994361039</v>
      </c>
      <c r="AO78" s="232">
        <f>U78*VLOOKUP($AA78,'SKOR PPH'!$B$13:$D$21,3,FALSE)</f>
        <v>0</v>
      </c>
      <c r="AP78" s="232">
        <f>$AE78*VLOOKUP($AA78,'SKOR PPH'!$B$13:$D$21,3,FALSE)</f>
        <v>0.79076023977444154</v>
      </c>
      <c r="AQ78" s="232">
        <f>W78*VLOOKUP($AA78,'SKOR PPH'!$B$13:$D$21,3,FALSE)</f>
        <v>2.6076261402975978</v>
      </c>
      <c r="AR78" s="232">
        <f>X78*VLOOKUP($AA78,'SKOR PPH'!$B$13:$D$21,3,FALSE)</f>
        <v>0.1571483303093254</v>
      </c>
      <c r="AS78" s="232">
        <f>Y78*VLOOKUP($AA78,'SKOR PPH'!$B$13:$D$21,3,FALSE)</f>
        <v>0.21586309108423823</v>
      </c>
      <c r="AT78" s="232">
        <f>Z78*VLOOKUP($AA78,'SKOR PPH'!$B$13:$D$21,3,FALSE)</f>
        <v>0</v>
      </c>
      <c r="AU78" s="232">
        <f>$AF78*VLOOKUP($AA78,'SKOR PPH'!$B$13:$D$21,3,FALSE)</f>
        <v>0.86345236433695294</v>
      </c>
    </row>
    <row r="79" spans="2:47" ht="15" customHeight="1" x14ac:dyDescent="0.2">
      <c r="B79" s="199" t="s">
        <v>49</v>
      </c>
      <c r="C79" s="207">
        <v>1000</v>
      </c>
      <c r="D79" s="149">
        <v>2040</v>
      </c>
      <c r="E79" s="243">
        <v>97.2</v>
      </c>
      <c r="F79" s="149">
        <v>180.3</v>
      </c>
      <c r="G79" s="261">
        <v>0</v>
      </c>
      <c r="H79" s="208" t="s">
        <v>200</v>
      </c>
      <c r="I79" s="311">
        <v>0</v>
      </c>
      <c r="J79" s="311">
        <v>0</v>
      </c>
      <c r="K79" s="311">
        <v>0</v>
      </c>
      <c r="L79" s="144">
        <f t="shared" si="105"/>
        <v>0</v>
      </c>
      <c r="M79" s="144">
        <f t="shared" si="106"/>
        <v>0</v>
      </c>
      <c r="N79" s="144">
        <f t="shared" si="107"/>
        <v>0</v>
      </c>
      <c r="O79" s="144">
        <f t="shared" si="108"/>
        <v>0</v>
      </c>
      <c r="P79" s="144">
        <f t="shared" si="109"/>
        <v>0</v>
      </c>
      <c r="Q79" s="144">
        <f t="shared" si="110"/>
        <v>0</v>
      </c>
      <c r="R79" s="144">
        <f t="shared" si="111"/>
        <v>0</v>
      </c>
      <c r="S79" s="144">
        <f t="shared" si="112"/>
        <v>0</v>
      </c>
      <c r="T79" s="144">
        <f t="shared" si="113"/>
        <v>0</v>
      </c>
      <c r="U79" s="144">
        <f t="shared" si="114"/>
        <v>0</v>
      </c>
      <c r="V79" s="338">
        <f t="shared" si="115"/>
        <v>0</v>
      </c>
      <c r="W79" s="338">
        <f t="shared" si="116"/>
        <v>0</v>
      </c>
      <c r="X79" s="338">
        <f t="shared" si="117"/>
        <v>0</v>
      </c>
      <c r="Y79" s="338">
        <f t="shared" si="118"/>
        <v>0</v>
      </c>
      <c r="Z79" s="338">
        <f t="shared" si="119"/>
        <v>0</v>
      </c>
      <c r="AA79" s="199">
        <v>3</v>
      </c>
      <c r="AB79" s="201">
        <v>10</v>
      </c>
      <c r="AC79" s="177">
        <v>1</v>
      </c>
      <c r="AD79" s="232">
        <f t="shared" si="120"/>
        <v>0</v>
      </c>
      <c r="AE79" s="232">
        <f t="shared" si="121"/>
        <v>0</v>
      </c>
      <c r="AF79" s="232">
        <f t="shared" si="122"/>
        <v>0</v>
      </c>
      <c r="AG79" s="232">
        <f>M79*VLOOKUP($AA79,'SKOR PPH'!$B$13:$D$21,3,FALSE)</f>
        <v>0</v>
      </c>
      <c r="AH79" s="232">
        <f>N79*VLOOKUP($AA79,'SKOR PPH'!$B$13:$D$21,3,FALSE)</f>
        <v>0</v>
      </c>
      <c r="AI79" s="232">
        <f>O79*VLOOKUP($AA79,'SKOR PPH'!$B$13:$D$21,3,FALSE)</f>
        <v>0</v>
      </c>
      <c r="AJ79" s="232">
        <f>P79*VLOOKUP($AA79,'SKOR PPH'!$B$13:$D$21,3,FALSE)</f>
        <v>0</v>
      </c>
      <c r="AK79" s="232">
        <f>$AD79*VLOOKUP($AA79,'SKOR PPH'!$B$13:$D$21,3,FALSE)</f>
        <v>0</v>
      </c>
      <c r="AL79" s="232">
        <f>R79*VLOOKUP($AA79,'SKOR PPH'!$B$13:$D$21,3,FALSE)</f>
        <v>0</v>
      </c>
      <c r="AM79" s="232">
        <f>S79*VLOOKUP($AA79,'SKOR PPH'!$B$13:$D$21,3,FALSE)</f>
        <v>0</v>
      </c>
      <c r="AN79" s="232">
        <f>T79*VLOOKUP($AA79,'SKOR PPH'!$B$13:$D$21,3,FALSE)</f>
        <v>0</v>
      </c>
      <c r="AO79" s="232">
        <f>U79*VLOOKUP($AA79,'SKOR PPH'!$B$13:$D$21,3,FALSE)</f>
        <v>0</v>
      </c>
      <c r="AP79" s="232">
        <f>$AE79*VLOOKUP($AA79,'SKOR PPH'!$B$13:$D$21,3,FALSE)</f>
        <v>0</v>
      </c>
      <c r="AQ79" s="232">
        <f>W79*VLOOKUP($AA79,'SKOR PPH'!$B$13:$D$21,3,FALSE)</f>
        <v>0</v>
      </c>
      <c r="AR79" s="232">
        <f>X79*VLOOKUP($AA79,'SKOR PPH'!$B$13:$D$21,3,FALSE)</f>
        <v>0</v>
      </c>
      <c r="AS79" s="232">
        <f>Y79*VLOOKUP($AA79,'SKOR PPH'!$B$13:$D$21,3,FALSE)</f>
        <v>0</v>
      </c>
      <c r="AT79" s="232">
        <f>Z79*VLOOKUP($AA79,'SKOR PPH'!$B$13:$D$21,3,FALSE)</f>
        <v>0</v>
      </c>
      <c r="AU79" s="232">
        <f>$AF79*VLOOKUP($AA79,'SKOR PPH'!$B$13:$D$21,3,FALSE)</f>
        <v>0</v>
      </c>
    </row>
    <row r="80" spans="2:47" ht="15" customHeight="1" x14ac:dyDescent="0.2">
      <c r="B80" s="199" t="s">
        <v>50</v>
      </c>
      <c r="C80" s="207">
        <v>1000</v>
      </c>
      <c r="D80" s="149">
        <v>2060</v>
      </c>
      <c r="E80" s="243">
        <v>171</v>
      </c>
      <c r="F80" s="149">
        <v>148</v>
      </c>
      <c r="G80" s="261">
        <v>0</v>
      </c>
      <c r="H80" s="208" t="s">
        <v>200</v>
      </c>
      <c r="I80" s="311">
        <v>0</v>
      </c>
      <c r="J80" s="311">
        <v>0</v>
      </c>
      <c r="K80" s="311">
        <v>0</v>
      </c>
      <c r="L80" s="144">
        <f t="shared" si="105"/>
        <v>0</v>
      </c>
      <c r="M80" s="144">
        <f t="shared" si="106"/>
        <v>0</v>
      </c>
      <c r="N80" s="144">
        <f t="shared" si="107"/>
        <v>0</v>
      </c>
      <c r="O80" s="144">
        <f t="shared" si="108"/>
        <v>0</v>
      </c>
      <c r="P80" s="144">
        <f t="shared" si="109"/>
        <v>0</v>
      </c>
      <c r="Q80" s="144">
        <f t="shared" si="110"/>
        <v>0</v>
      </c>
      <c r="R80" s="144">
        <f t="shared" si="111"/>
        <v>0</v>
      </c>
      <c r="S80" s="144">
        <f t="shared" si="112"/>
        <v>0</v>
      </c>
      <c r="T80" s="144">
        <f t="shared" si="113"/>
        <v>0</v>
      </c>
      <c r="U80" s="144">
        <f t="shared" si="114"/>
        <v>0</v>
      </c>
      <c r="V80" s="338">
        <f t="shared" si="115"/>
        <v>0</v>
      </c>
      <c r="W80" s="338">
        <f t="shared" si="116"/>
        <v>0</v>
      </c>
      <c r="X80" s="338">
        <f t="shared" si="117"/>
        <v>0</v>
      </c>
      <c r="Y80" s="338">
        <f t="shared" si="118"/>
        <v>0</v>
      </c>
      <c r="Z80" s="338">
        <f t="shared" si="119"/>
        <v>0</v>
      </c>
      <c r="AA80" s="199">
        <v>3</v>
      </c>
      <c r="AB80" s="201">
        <v>9</v>
      </c>
      <c r="AC80" s="177">
        <v>1</v>
      </c>
      <c r="AD80" s="232">
        <f t="shared" si="120"/>
        <v>0</v>
      </c>
      <c r="AE80" s="232">
        <f t="shared" si="121"/>
        <v>0</v>
      </c>
      <c r="AF80" s="232">
        <f t="shared" si="122"/>
        <v>0</v>
      </c>
      <c r="AG80" s="232">
        <f>M80*VLOOKUP($AA80,'SKOR PPH'!$B$13:$D$21,3,FALSE)</f>
        <v>0</v>
      </c>
      <c r="AH80" s="232">
        <f>N80*VLOOKUP($AA80,'SKOR PPH'!$B$13:$D$21,3,FALSE)</f>
        <v>0</v>
      </c>
      <c r="AI80" s="232">
        <f>O80*VLOOKUP($AA80,'SKOR PPH'!$B$13:$D$21,3,FALSE)</f>
        <v>0</v>
      </c>
      <c r="AJ80" s="232">
        <f>P80*VLOOKUP($AA80,'SKOR PPH'!$B$13:$D$21,3,FALSE)</f>
        <v>0</v>
      </c>
      <c r="AK80" s="232">
        <f>$AD80*VLOOKUP($AA80,'SKOR PPH'!$B$13:$D$21,3,FALSE)</f>
        <v>0</v>
      </c>
      <c r="AL80" s="232">
        <f>R80*VLOOKUP($AA80,'SKOR PPH'!$B$13:$D$21,3,FALSE)</f>
        <v>0</v>
      </c>
      <c r="AM80" s="232">
        <f>S80*VLOOKUP($AA80,'SKOR PPH'!$B$13:$D$21,3,FALSE)</f>
        <v>0</v>
      </c>
      <c r="AN80" s="232">
        <f>T80*VLOOKUP($AA80,'SKOR PPH'!$B$13:$D$21,3,FALSE)</f>
        <v>0</v>
      </c>
      <c r="AO80" s="232">
        <f>U80*VLOOKUP($AA80,'SKOR PPH'!$B$13:$D$21,3,FALSE)</f>
        <v>0</v>
      </c>
      <c r="AP80" s="232">
        <f>$AE80*VLOOKUP($AA80,'SKOR PPH'!$B$13:$D$21,3,FALSE)</f>
        <v>0</v>
      </c>
      <c r="AQ80" s="232">
        <f>W80*VLOOKUP($AA80,'SKOR PPH'!$B$13:$D$21,3,FALSE)</f>
        <v>0</v>
      </c>
      <c r="AR80" s="232">
        <f>X80*VLOOKUP($AA80,'SKOR PPH'!$B$13:$D$21,3,FALSE)</f>
        <v>0</v>
      </c>
      <c r="AS80" s="232">
        <f>Y80*VLOOKUP($AA80,'SKOR PPH'!$B$13:$D$21,3,FALSE)</f>
        <v>0</v>
      </c>
      <c r="AT80" s="232">
        <f>Z80*VLOOKUP($AA80,'SKOR PPH'!$B$13:$D$21,3,FALSE)</f>
        <v>0</v>
      </c>
      <c r="AU80" s="232">
        <f>$AF80*VLOOKUP($AA80,'SKOR PPH'!$B$13:$D$21,3,FALSE)</f>
        <v>0</v>
      </c>
    </row>
    <row r="81" spans="2:47" ht="15" customHeight="1" x14ac:dyDescent="0.2">
      <c r="B81" s="209" t="s">
        <v>51</v>
      </c>
      <c r="C81" s="210"/>
      <c r="D81" s="188"/>
      <c r="E81" s="248"/>
      <c r="F81" s="188"/>
      <c r="G81" s="188"/>
      <c r="H81" s="268"/>
      <c r="I81" s="316"/>
      <c r="J81" s="316"/>
      <c r="K81" s="316"/>
      <c r="L81" s="327"/>
      <c r="M81" s="196"/>
      <c r="N81" s="196"/>
      <c r="O81" s="328"/>
      <c r="P81" s="197"/>
      <c r="Q81" s="327"/>
      <c r="R81" s="196"/>
      <c r="S81" s="196"/>
      <c r="T81" s="328"/>
      <c r="U81" s="197"/>
      <c r="V81" s="327"/>
      <c r="W81" s="196"/>
      <c r="X81" s="196"/>
      <c r="Y81" s="328"/>
      <c r="Z81" s="197"/>
      <c r="AA81" s="199"/>
      <c r="AB81" s="190"/>
      <c r="AC81" s="191"/>
      <c r="AD81" s="236"/>
      <c r="AE81" s="236"/>
      <c r="AF81" s="236"/>
      <c r="AG81" s="236"/>
      <c r="AH81" s="236"/>
      <c r="AI81" s="236"/>
      <c r="AJ81" s="236"/>
      <c r="AK81" s="236"/>
      <c r="AL81" s="236"/>
      <c r="AM81" s="236"/>
      <c r="AN81" s="236"/>
      <c r="AO81" s="236"/>
      <c r="AP81" s="236"/>
      <c r="AQ81" s="236"/>
      <c r="AR81" s="236"/>
      <c r="AS81" s="236"/>
      <c r="AT81" s="236"/>
      <c r="AU81" s="236"/>
    </row>
    <row r="82" spans="2:47" ht="15" customHeight="1" x14ac:dyDescent="0.2">
      <c r="B82" s="199" t="s">
        <v>52</v>
      </c>
      <c r="C82" s="207">
        <v>1000</v>
      </c>
      <c r="D82" s="149">
        <v>4330</v>
      </c>
      <c r="E82" s="243">
        <v>550</v>
      </c>
      <c r="F82" s="149">
        <v>90</v>
      </c>
      <c r="G82" s="261">
        <v>0</v>
      </c>
      <c r="H82" s="208" t="s">
        <v>200</v>
      </c>
      <c r="I82" s="311">
        <v>0</v>
      </c>
      <c r="J82" s="311">
        <v>0</v>
      </c>
      <c r="K82" s="311">
        <v>0</v>
      </c>
      <c r="L82" s="144">
        <f t="shared" ref="L82:L85" si="123">$I82*C82/7</f>
        <v>0</v>
      </c>
      <c r="M82" s="144">
        <f t="shared" ref="M82:M85" si="124">$I82*D82/7</f>
        <v>0</v>
      </c>
      <c r="N82" s="144">
        <f t="shared" ref="N82:N85" si="125">$I82*E82/7</f>
        <v>0</v>
      </c>
      <c r="O82" s="144">
        <f t="shared" ref="O82:O85" si="126">$I82*F82/7</f>
        <v>0</v>
      </c>
      <c r="P82" s="144">
        <f t="shared" ref="P82:P85" si="127">$I82*G82/7</f>
        <v>0</v>
      </c>
      <c r="Q82" s="144">
        <f t="shared" ref="Q82:Q85" si="128">$J82*C82/7</f>
        <v>0</v>
      </c>
      <c r="R82" s="144">
        <f t="shared" ref="R82:R85" si="129">$J82*D82/7</f>
        <v>0</v>
      </c>
      <c r="S82" s="144">
        <f t="shared" ref="S82:S85" si="130">$J82*E82/7</f>
        <v>0</v>
      </c>
      <c r="T82" s="144">
        <f t="shared" ref="T82:T85" si="131">$J82*F82/7</f>
        <v>0</v>
      </c>
      <c r="U82" s="144">
        <f t="shared" ref="U82:U85" si="132">$J82*G82/7</f>
        <v>0</v>
      </c>
      <c r="V82" s="338">
        <f t="shared" ref="V82:V85" si="133">$K82*C82/7</f>
        <v>0</v>
      </c>
      <c r="W82" s="338">
        <f t="shared" ref="W82:W85" si="134">$K82*D82/7</f>
        <v>0</v>
      </c>
      <c r="X82" s="338">
        <f t="shared" ref="X82:X85" si="135">$K82*E82/7</f>
        <v>0</v>
      </c>
      <c r="Y82" s="338">
        <f t="shared" ref="Y82:Y85" si="136">$K82*F82/7</f>
        <v>0</v>
      </c>
      <c r="Z82" s="338">
        <f t="shared" ref="Z82:Z85" si="137">$K82*G82/7</f>
        <v>0</v>
      </c>
      <c r="AA82" s="199">
        <v>3</v>
      </c>
      <c r="AB82" s="201">
        <v>9</v>
      </c>
      <c r="AC82" s="240">
        <v>2.5</v>
      </c>
      <c r="AD82" s="238">
        <f t="shared" ref="AD82:AD91" si="138">$L82*$AC82</f>
        <v>0</v>
      </c>
      <c r="AE82" s="238">
        <f t="shared" ref="AE82:AE91" si="139">$Q82*$AC82</f>
        <v>0</v>
      </c>
      <c r="AF82" s="238">
        <f t="shared" ref="AF82:AF91" si="140">$V82*$AC82</f>
        <v>0</v>
      </c>
      <c r="AG82" s="238">
        <f>M82*VLOOKUP($AA82,'SKOR PPH'!$B$13:$D$21,3,FALSE)</f>
        <v>0</v>
      </c>
      <c r="AH82" s="238">
        <f>N82*VLOOKUP($AA82,'SKOR PPH'!$B$13:$D$21,3,FALSE)</f>
        <v>0</v>
      </c>
      <c r="AI82" s="238">
        <f>O82*VLOOKUP($AA82,'SKOR PPH'!$B$13:$D$21,3,FALSE)</f>
        <v>0</v>
      </c>
      <c r="AJ82" s="238">
        <f>P82*VLOOKUP($AA82,'SKOR PPH'!$B$13:$D$21,3,FALSE)</f>
        <v>0</v>
      </c>
      <c r="AK82" s="238">
        <f>$AD82*VLOOKUP($AA82,'SKOR PPH'!$B$13:$D$21,3,FALSE)</f>
        <v>0</v>
      </c>
      <c r="AL82" s="238">
        <f>R82*VLOOKUP($AA82,'SKOR PPH'!$B$13:$D$21,3,FALSE)</f>
        <v>0</v>
      </c>
      <c r="AM82" s="238">
        <f>S82*VLOOKUP($AA82,'SKOR PPH'!$B$13:$D$21,3,FALSE)</f>
        <v>0</v>
      </c>
      <c r="AN82" s="238">
        <f>T82*VLOOKUP($AA82,'SKOR PPH'!$B$13:$D$21,3,FALSE)</f>
        <v>0</v>
      </c>
      <c r="AO82" s="238">
        <f>U82*VLOOKUP($AA82,'SKOR PPH'!$B$13:$D$21,3,FALSE)</f>
        <v>0</v>
      </c>
      <c r="AP82" s="238">
        <f>$AE82*VLOOKUP($AA82,'SKOR PPH'!$B$13:$D$21,3,FALSE)</f>
        <v>0</v>
      </c>
      <c r="AQ82" s="238">
        <f>W82*VLOOKUP($AA82,'SKOR PPH'!$B$13:$D$21,3,FALSE)</f>
        <v>0</v>
      </c>
      <c r="AR82" s="238">
        <f>X82*VLOOKUP($AA82,'SKOR PPH'!$B$13:$D$21,3,FALSE)</f>
        <v>0</v>
      </c>
      <c r="AS82" s="238">
        <f>Y82*VLOOKUP($AA82,'SKOR PPH'!$B$13:$D$21,3,FALSE)</f>
        <v>0</v>
      </c>
      <c r="AT82" s="238">
        <f>Z82*VLOOKUP($AA82,'SKOR PPH'!$B$13:$D$21,3,FALSE)</f>
        <v>0</v>
      </c>
      <c r="AU82" s="238">
        <f>$AF82*VLOOKUP($AA82,'SKOR PPH'!$B$13:$D$21,3,FALSE)</f>
        <v>0</v>
      </c>
    </row>
    <row r="83" spans="2:47" ht="15" customHeight="1" x14ac:dyDescent="0.2">
      <c r="B83" s="199" t="s">
        <v>53</v>
      </c>
      <c r="C83" s="207">
        <v>100</v>
      </c>
      <c r="D83" s="149">
        <v>212</v>
      </c>
      <c r="E83" s="243">
        <v>18</v>
      </c>
      <c r="F83" s="149">
        <v>10.6</v>
      </c>
      <c r="G83" s="261">
        <v>59.3</v>
      </c>
      <c r="H83" s="208" t="s">
        <v>36</v>
      </c>
      <c r="I83" s="311">
        <v>0</v>
      </c>
      <c r="J83" s="311">
        <v>0</v>
      </c>
      <c r="K83" s="311">
        <v>0</v>
      </c>
      <c r="L83" s="144">
        <f t="shared" si="123"/>
        <v>0</v>
      </c>
      <c r="M83" s="144">
        <f t="shared" si="124"/>
        <v>0</v>
      </c>
      <c r="N83" s="144">
        <f t="shared" si="125"/>
        <v>0</v>
      </c>
      <c r="O83" s="144">
        <f t="shared" si="126"/>
        <v>0</v>
      </c>
      <c r="P83" s="144">
        <f t="shared" si="127"/>
        <v>0</v>
      </c>
      <c r="Q83" s="144">
        <f t="shared" si="128"/>
        <v>0</v>
      </c>
      <c r="R83" s="144">
        <f t="shared" si="129"/>
        <v>0</v>
      </c>
      <c r="S83" s="144">
        <f t="shared" si="130"/>
        <v>0</v>
      </c>
      <c r="T83" s="144">
        <f t="shared" si="131"/>
        <v>0</v>
      </c>
      <c r="U83" s="144">
        <f t="shared" si="132"/>
        <v>0</v>
      </c>
      <c r="V83" s="338">
        <f t="shared" si="133"/>
        <v>0</v>
      </c>
      <c r="W83" s="338">
        <f t="shared" si="134"/>
        <v>0</v>
      </c>
      <c r="X83" s="338">
        <f t="shared" si="135"/>
        <v>0</v>
      </c>
      <c r="Y83" s="338">
        <f t="shared" si="136"/>
        <v>0</v>
      </c>
      <c r="Z83" s="338">
        <f t="shared" si="137"/>
        <v>0</v>
      </c>
      <c r="AA83" s="199">
        <v>3</v>
      </c>
      <c r="AB83" s="201">
        <v>9</v>
      </c>
      <c r="AC83" s="240">
        <v>10</v>
      </c>
      <c r="AD83" s="238">
        <f t="shared" si="138"/>
        <v>0</v>
      </c>
      <c r="AE83" s="238">
        <f t="shared" si="139"/>
        <v>0</v>
      </c>
      <c r="AF83" s="238">
        <f t="shared" si="140"/>
        <v>0</v>
      </c>
      <c r="AG83" s="238">
        <f>M83*VLOOKUP($AA83,'SKOR PPH'!$B$13:$D$21,3,FALSE)</f>
        <v>0</v>
      </c>
      <c r="AH83" s="238">
        <f>N83*VLOOKUP($AA83,'SKOR PPH'!$B$13:$D$21,3,FALSE)</f>
        <v>0</v>
      </c>
      <c r="AI83" s="238">
        <f>O83*VLOOKUP($AA83,'SKOR PPH'!$B$13:$D$21,3,FALSE)</f>
        <v>0</v>
      </c>
      <c r="AJ83" s="238">
        <f>P83*VLOOKUP($AA83,'SKOR PPH'!$B$13:$D$21,3,FALSE)</f>
        <v>0</v>
      </c>
      <c r="AK83" s="238">
        <f>$AD83*VLOOKUP($AA83,'SKOR PPH'!$B$13:$D$21,3,FALSE)</f>
        <v>0</v>
      </c>
      <c r="AL83" s="238">
        <f>R83*VLOOKUP($AA83,'SKOR PPH'!$B$13:$D$21,3,FALSE)</f>
        <v>0</v>
      </c>
      <c r="AM83" s="238">
        <f>S83*VLOOKUP($AA83,'SKOR PPH'!$B$13:$D$21,3,FALSE)</f>
        <v>0</v>
      </c>
      <c r="AN83" s="238">
        <f>T83*VLOOKUP($AA83,'SKOR PPH'!$B$13:$D$21,3,FALSE)</f>
        <v>0</v>
      </c>
      <c r="AO83" s="238">
        <f>U83*VLOOKUP($AA83,'SKOR PPH'!$B$13:$D$21,3,FALSE)</f>
        <v>0</v>
      </c>
      <c r="AP83" s="238">
        <f>$AE83*VLOOKUP($AA83,'SKOR PPH'!$B$13:$D$21,3,FALSE)</f>
        <v>0</v>
      </c>
      <c r="AQ83" s="238">
        <f>W83*VLOOKUP($AA83,'SKOR PPH'!$B$13:$D$21,3,FALSE)</f>
        <v>0</v>
      </c>
      <c r="AR83" s="238">
        <f>X83*VLOOKUP($AA83,'SKOR PPH'!$B$13:$D$21,3,FALSE)</f>
        <v>0</v>
      </c>
      <c r="AS83" s="238">
        <f>Y83*VLOOKUP($AA83,'SKOR PPH'!$B$13:$D$21,3,FALSE)</f>
        <v>0</v>
      </c>
      <c r="AT83" s="238">
        <f>Z83*VLOOKUP($AA83,'SKOR PPH'!$B$13:$D$21,3,FALSE)</f>
        <v>0</v>
      </c>
      <c r="AU83" s="238">
        <f>$AF83*VLOOKUP($AA83,'SKOR PPH'!$B$13:$D$21,3,FALSE)</f>
        <v>0</v>
      </c>
    </row>
    <row r="84" spans="2:47" ht="15" customHeight="1" x14ac:dyDescent="0.2">
      <c r="B84" s="199" t="s">
        <v>54</v>
      </c>
      <c r="C84" s="207">
        <v>1000</v>
      </c>
      <c r="D84" s="149">
        <v>2410</v>
      </c>
      <c r="E84" s="243">
        <v>160</v>
      </c>
      <c r="F84" s="149">
        <v>250</v>
      </c>
      <c r="G84" s="261">
        <v>0</v>
      </c>
      <c r="H84" s="208" t="s">
        <v>200</v>
      </c>
      <c r="I84" s="311">
        <v>0</v>
      </c>
      <c r="J84" s="311">
        <v>0</v>
      </c>
      <c r="K84" s="311">
        <v>0</v>
      </c>
      <c r="L84" s="144">
        <f t="shared" si="123"/>
        <v>0</v>
      </c>
      <c r="M84" s="144">
        <f t="shared" si="124"/>
        <v>0</v>
      </c>
      <c r="N84" s="144">
        <f t="shared" si="125"/>
        <v>0</v>
      </c>
      <c r="O84" s="144">
        <f t="shared" si="126"/>
        <v>0</v>
      </c>
      <c r="P84" s="144">
        <f t="shared" si="127"/>
        <v>0</v>
      </c>
      <c r="Q84" s="144">
        <f t="shared" si="128"/>
        <v>0</v>
      </c>
      <c r="R84" s="144">
        <f t="shared" si="129"/>
        <v>0</v>
      </c>
      <c r="S84" s="144">
        <f t="shared" si="130"/>
        <v>0</v>
      </c>
      <c r="T84" s="144">
        <f t="shared" si="131"/>
        <v>0</v>
      </c>
      <c r="U84" s="144">
        <f t="shared" si="132"/>
        <v>0</v>
      </c>
      <c r="V84" s="338">
        <f t="shared" si="133"/>
        <v>0</v>
      </c>
      <c r="W84" s="338">
        <f t="shared" si="134"/>
        <v>0</v>
      </c>
      <c r="X84" s="338">
        <f t="shared" si="135"/>
        <v>0</v>
      </c>
      <c r="Y84" s="338">
        <f t="shared" si="136"/>
        <v>0</v>
      </c>
      <c r="Z84" s="338">
        <f t="shared" si="137"/>
        <v>0</v>
      </c>
      <c r="AA84" s="199">
        <v>3</v>
      </c>
      <c r="AB84" s="201">
        <v>9</v>
      </c>
      <c r="AC84" s="177">
        <v>1</v>
      </c>
      <c r="AD84" s="238">
        <f t="shared" si="138"/>
        <v>0</v>
      </c>
      <c r="AE84" s="238">
        <f t="shared" si="139"/>
        <v>0</v>
      </c>
      <c r="AF84" s="238">
        <f t="shared" si="140"/>
        <v>0</v>
      </c>
      <c r="AG84" s="238">
        <f>M84*VLOOKUP($AA84,'SKOR PPH'!$B$13:$D$21,3,FALSE)</f>
        <v>0</v>
      </c>
      <c r="AH84" s="238">
        <f>N84*VLOOKUP($AA84,'SKOR PPH'!$B$13:$D$21,3,FALSE)</f>
        <v>0</v>
      </c>
      <c r="AI84" s="238">
        <f>O84*VLOOKUP($AA84,'SKOR PPH'!$B$13:$D$21,3,FALSE)</f>
        <v>0</v>
      </c>
      <c r="AJ84" s="238">
        <f>P84*VLOOKUP($AA84,'SKOR PPH'!$B$13:$D$21,3,FALSE)</f>
        <v>0</v>
      </c>
      <c r="AK84" s="238">
        <f>$AD84*VLOOKUP($AA84,'SKOR PPH'!$B$13:$D$21,3,FALSE)</f>
        <v>0</v>
      </c>
      <c r="AL84" s="238">
        <f>R84*VLOOKUP($AA84,'SKOR PPH'!$B$13:$D$21,3,FALSE)</f>
        <v>0</v>
      </c>
      <c r="AM84" s="238">
        <f>S84*VLOOKUP($AA84,'SKOR PPH'!$B$13:$D$21,3,FALSE)</f>
        <v>0</v>
      </c>
      <c r="AN84" s="238">
        <f>T84*VLOOKUP($AA84,'SKOR PPH'!$B$13:$D$21,3,FALSE)</f>
        <v>0</v>
      </c>
      <c r="AO84" s="238">
        <f>U84*VLOOKUP($AA84,'SKOR PPH'!$B$13:$D$21,3,FALSE)</f>
        <v>0</v>
      </c>
      <c r="AP84" s="238">
        <f>$AE84*VLOOKUP($AA84,'SKOR PPH'!$B$13:$D$21,3,FALSE)</f>
        <v>0</v>
      </c>
      <c r="AQ84" s="238">
        <f>W84*VLOOKUP($AA84,'SKOR PPH'!$B$13:$D$21,3,FALSE)</f>
        <v>0</v>
      </c>
      <c r="AR84" s="238">
        <f>X84*VLOOKUP($AA84,'SKOR PPH'!$B$13:$D$21,3,FALSE)</f>
        <v>0</v>
      </c>
      <c r="AS84" s="238">
        <f>Y84*VLOOKUP($AA84,'SKOR PPH'!$B$13:$D$21,3,FALSE)</f>
        <v>0</v>
      </c>
      <c r="AT84" s="238">
        <f>Z84*VLOOKUP($AA84,'SKOR PPH'!$B$13:$D$21,3,FALSE)</f>
        <v>0</v>
      </c>
      <c r="AU84" s="238">
        <f>$AF84*VLOOKUP($AA84,'SKOR PPH'!$B$13:$D$21,3,FALSE)</f>
        <v>0</v>
      </c>
    </row>
    <row r="85" spans="2:47" ht="15" customHeight="1" x14ac:dyDescent="0.2">
      <c r="B85" s="199" t="s">
        <v>33</v>
      </c>
      <c r="C85" s="207">
        <v>1000</v>
      </c>
      <c r="D85" s="149">
        <v>4520</v>
      </c>
      <c r="E85" s="243">
        <v>145</v>
      </c>
      <c r="F85" s="149">
        <v>423</v>
      </c>
      <c r="G85" s="261">
        <v>23</v>
      </c>
      <c r="H85" s="208" t="s">
        <v>200</v>
      </c>
      <c r="I85" s="311">
        <v>0</v>
      </c>
      <c r="J85" s="311">
        <v>0</v>
      </c>
      <c r="K85" s="311">
        <v>0</v>
      </c>
      <c r="L85" s="144">
        <f t="shared" si="123"/>
        <v>0</v>
      </c>
      <c r="M85" s="144">
        <f t="shared" si="124"/>
        <v>0</v>
      </c>
      <c r="N85" s="144">
        <f t="shared" si="125"/>
        <v>0</v>
      </c>
      <c r="O85" s="144">
        <f t="shared" si="126"/>
        <v>0</v>
      </c>
      <c r="P85" s="144">
        <f t="shared" si="127"/>
        <v>0</v>
      </c>
      <c r="Q85" s="144">
        <f t="shared" si="128"/>
        <v>0</v>
      </c>
      <c r="R85" s="144">
        <f t="shared" si="129"/>
        <v>0</v>
      </c>
      <c r="S85" s="144">
        <f t="shared" si="130"/>
        <v>0</v>
      </c>
      <c r="T85" s="144">
        <f t="shared" si="131"/>
        <v>0</v>
      </c>
      <c r="U85" s="144">
        <f t="shared" si="132"/>
        <v>0</v>
      </c>
      <c r="V85" s="338">
        <f t="shared" si="133"/>
        <v>0</v>
      </c>
      <c r="W85" s="338">
        <f t="shared" si="134"/>
        <v>0</v>
      </c>
      <c r="X85" s="338">
        <f t="shared" si="135"/>
        <v>0</v>
      </c>
      <c r="Y85" s="338">
        <f t="shared" si="136"/>
        <v>0</v>
      </c>
      <c r="Z85" s="338">
        <f t="shared" si="137"/>
        <v>0</v>
      </c>
      <c r="AA85" s="199">
        <v>3</v>
      </c>
      <c r="AB85" s="201">
        <v>9</v>
      </c>
      <c r="AC85" s="177">
        <v>0.5</v>
      </c>
      <c r="AD85" s="238">
        <f t="shared" si="138"/>
        <v>0</v>
      </c>
      <c r="AE85" s="238">
        <f t="shared" si="139"/>
        <v>0</v>
      </c>
      <c r="AF85" s="238">
        <f t="shared" si="140"/>
        <v>0</v>
      </c>
      <c r="AG85" s="238">
        <f>M85*VLOOKUP($AA85,'SKOR PPH'!$B$13:$D$21,3,FALSE)</f>
        <v>0</v>
      </c>
      <c r="AH85" s="238">
        <f>N85*VLOOKUP($AA85,'SKOR PPH'!$B$13:$D$21,3,FALSE)</f>
        <v>0</v>
      </c>
      <c r="AI85" s="238">
        <f>O85*VLOOKUP($AA85,'SKOR PPH'!$B$13:$D$21,3,FALSE)</f>
        <v>0</v>
      </c>
      <c r="AJ85" s="238">
        <f>P85*VLOOKUP($AA85,'SKOR PPH'!$B$13:$D$21,3,FALSE)</f>
        <v>0</v>
      </c>
      <c r="AK85" s="238">
        <f>$AD85*VLOOKUP($AA85,'SKOR PPH'!$B$13:$D$21,3,FALSE)</f>
        <v>0</v>
      </c>
      <c r="AL85" s="238">
        <f>R85*VLOOKUP($AA85,'SKOR PPH'!$B$13:$D$21,3,FALSE)</f>
        <v>0</v>
      </c>
      <c r="AM85" s="238">
        <f>S85*VLOOKUP($AA85,'SKOR PPH'!$B$13:$D$21,3,FALSE)</f>
        <v>0</v>
      </c>
      <c r="AN85" s="238">
        <f>T85*VLOOKUP($AA85,'SKOR PPH'!$B$13:$D$21,3,FALSE)</f>
        <v>0</v>
      </c>
      <c r="AO85" s="238">
        <f>U85*VLOOKUP($AA85,'SKOR PPH'!$B$13:$D$21,3,FALSE)</f>
        <v>0</v>
      </c>
      <c r="AP85" s="238">
        <f>$AE85*VLOOKUP($AA85,'SKOR PPH'!$B$13:$D$21,3,FALSE)</f>
        <v>0</v>
      </c>
      <c r="AQ85" s="238">
        <f>W85*VLOOKUP($AA85,'SKOR PPH'!$B$13:$D$21,3,FALSE)</f>
        <v>0</v>
      </c>
      <c r="AR85" s="238">
        <f>X85*VLOOKUP($AA85,'SKOR PPH'!$B$13:$D$21,3,FALSE)</f>
        <v>0</v>
      </c>
      <c r="AS85" s="238">
        <f>Y85*VLOOKUP($AA85,'SKOR PPH'!$B$13:$D$21,3,FALSE)</f>
        <v>0</v>
      </c>
      <c r="AT85" s="238">
        <f>Z85*VLOOKUP($AA85,'SKOR PPH'!$B$13:$D$21,3,FALSE)</f>
        <v>0</v>
      </c>
      <c r="AU85" s="238">
        <f>$AF85*VLOOKUP($AA85,'SKOR PPH'!$B$13:$D$21,3,FALSE)</f>
        <v>0</v>
      </c>
    </row>
    <row r="86" spans="2:47" ht="15" customHeight="1" x14ac:dyDescent="0.2">
      <c r="B86" s="209" t="s">
        <v>332</v>
      </c>
      <c r="C86" s="187"/>
      <c r="D86" s="188"/>
      <c r="E86" s="248"/>
      <c r="F86" s="188"/>
      <c r="G86" s="188"/>
      <c r="H86" s="268"/>
      <c r="I86" s="316"/>
      <c r="J86" s="316"/>
      <c r="K86" s="316"/>
      <c r="L86" s="327"/>
      <c r="M86" s="196"/>
      <c r="N86" s="196"/>
      <c r="O86" s="328"/>
      <c r="P86" s="197"/>
      <c r="Q86" s="327"/>
      <c r="R86" s="196"/>
      <c r="S86" s="196"/>
      <c r="T86" s="328"/>
      <c r="U86" s="197"/>
      <c r="V86" s="327"/>
      <c r="W86" s="196"/>
      <c r="X86" s="196"/>
      <c r="Y86" s="328"/>
      <c r="Z86" s="197"/>
      <c r="AA86" s="199"/>
      <c r="AB86" s="190"/>
      <c r="AC86" s="191"/>
      <c r="AD86" s="236"/>
      <c r="AE86" s="236"/>
      <c r="AF86" s="236"/>
      <c r="AG86" s="236"/>
      <c r="AH86" s="236"/>
      <c r="AI86" s="236"/>
      <c r="AJ86" s="236"/>
      <c r="AK86" s="236"/>
      <c r="AL86" s="236"/>
      <c r="AM86" s="236"/>
      <c r="AN86" s="236"/>
      <c r="AO86" s="236"/>
      <c r="AP86" s="236"/>
      <c r="AQ86" s="236"/>
      <c r="AR86" s="236"/>
      <c r="AS86" s="236"/>
      <c r="AT86" s="236"/>
      <c r="AU86" s="236"/>
    </row>
    <row r="87" spans="2:47" ht="15" customHeight="1" x14ac:dyDescent="0.2">
      <c r="B87" s="199" t="s">
        <v>55</v>
      </c>
      <c r="C87" s="207">
        <v>1000</v>
      </c>
      <c r="D87" s="149">
        <v>1360</v>
      </c>
      <c r="E87" s="243">
        <v>197</v>
      </c>
      <c r="F87" s="149">
        <v>32</v>
      </c>
      <c r="G87" s="261">
        <v>60</v>
      </c>
      <c r="H87" s="208" t="s">
        <v>200</v>
      </c>
      <c r="I87" s="311">
        <v>0</v>
      </c>
      <c r="J87" s="311">
        <v>0</v>
      </c>
      <c r="K87" s="311">
        <v>0</v>
      </c>
      <c r="L87" s="144">
        <f t="shared" ref="L87:L91" si="141">$I87*C87/7</f>
        <v>0</v>
      </c>
      <c r="M87" s="144">
        <f t="shared" ref="M87:M91" si="142">$I87*D87/7</f>
        <v>0</v>
      </c>
      <c r="N87" s="144">
        <f t="shared" ref="N87:N91" si="143">$I87*E87/7</f>
        <v>0</v>
      </c>
      <c r="O87" s="144">
        <f t="shared" ref="O87:O91" si="144">$I87*F87/7</f>
        <v>0</v>
      </c>
      <c r="P87" s="144">
        <f t="shared" ref="P87:P91" si="145">$I87*G87/7</f>
        <v>0</v>
      </c>
      <c r="Q87" s="144">
        <f t="shared" ref="Q87:Q91" si="146">$J87*C87/7</f>
        <v>0</v>
      </c>
      <c r="R87" s="144">
        <f t="shared" ref="R87:R91" si="147">$J87*D87/7</f>
        <v>0</v>
      </c>
      <c r="S87" s="144">
        <f t="shared" ref="S87:S91" si="148">$J87*E87/7</f>
        <v>0</v>
      </c>
      <c r="T87" s="144">
        <f t="shared" ref="T87:T91" si="149">$J87*F87/7</f>
        <v>0</v>
      </c>
      <c r="U87" s="144">
        <f t="shared" ref="U87:U91" si="150">$J87*G87/7</f>
        <v>0</v>
      </c>
      <c r="V87" s="338">
        <f t="shared" ref="V87:V91" si="151">$K87*C87/7</f>
        <v>0</v>
      </c>
      <c r="W87" s="338">
        <f t="shared" ref="W87:W91" si="152">$K87*D87/7</f>
        <v>0</v>
      </c>
      <c r="X87" s="338">
        <f t="shared" ref="X87:X91" si="153">$K87*E87/7</f>
        <v>0</v>
      </c>
      <c r="Y87" s="338">
        <f t="shared" ref="Y87:Y91" si="154">$K87*F87/7</f>
        <v>0</v>
      </c>
      <c r="Z87" s="338">
        <f t="shared" ref="Z87:Z91" si="155">$K87*G87/7</f>
        <v>0</v>
      </c>
      <c r="AA87" s="176">
        <v>3</v>
      </c>
      <c r="AB87" s="201">
        <v>9</v>
      </c>
      <c r="AC87" s="177">
        <v>1</v>
      </c>
      <c r="AD87" s="238">
        <f t="shared" si="138"/>
        <v>0</v>
      </c>
      <c r="AE87" s="238">
        <f t="shared" si="139"/>
        <v>0</v>
      </c>
      <c r="AF87" s="238">
        <f t="shared" si="140"/>
        <v>0</v>
      </c>
      <c r="AG87" s="238">
        <f>M87*VLOOKUP($AA87,'SKOR PPH'!$B$13:$D$21,3,FALSE)</f>
        <v>0</v>
      </c>
      <c r="AH87" s="238">
        <f>N87*VLOOKUP($AA87,'SKOR PPH'!$B$13:$D$21,3,FALSE)</f>
        <v>0</v>
      </c>
      <c r="AI87" s="238">
        <f>O87*VLOOKUP($AA87,'SKOR PPH'!$B$13:$D$21,3,FALSE)</f>
        <v>0</v>
      </c>
      <c r="AJ87" s="238">
        <f>P87*VLOOKUP($AA87,'SKOR PPH'!$B$13:$D$21,3,FALSE)</f>
        <v>0</v>
      </c>
      <c r="AK87" s="238">
        <f>$AD87*VLOOKUP($AA87,'SKOR PPH'!$B$13:$D$21,3,FALSE)</f>
        <v>0</v>
      </c>
      <c r="AL87" s="238">
        <f>R87*VLOOKUP($AA87,'SKOR PPH'!$B$13:$D$21,3,FALSE)</f>
        <v>0</v>
      </c>
      <c r="AM87" s="238">
        <f>S87*VLOOKUP($AA87,'SKOR PPH'!$B$13:$D$21,3,FALSE)</f>
        <v>0</v>
      </c>
      <c r="AN87" s="238">
        <f>T87*VLOOKUP($AA87,'SKOR PPH'!$B$13:$D$21,3,FALSE)</f>
        <v>0</v>
      </c>
      <c r="AO87" s="238">
        <f>U87*VLOOKUP($AA87,'SKOR PPH'!$B$13:$D$21,3,FALSE)</f>
        <v>0</v>
      </c>
      <c r="AP87" s="238">
        <f>$AE87*VLOOKUP($AA87,'SKOR PPH'!$B$13:$D$21,3,FALSE)</f>
        <v>0</v>
      </c>
      <c r="AQ87" s="238">
        <f>W87*VLOOKUP($AA87,'SKOR PPH'!$B$13:$D$21,3,FALSE)</f>
        <v>0</v>
      </c>
      <c r="AR87" s="238">
        <f>X87*VLOOKUP($AA87,'SKOR PPH'!$B$13:$D$21,3,FALSE)</f>
        <v>0</v>
      </c>
      <c r="AS87" s="238">
        <f>Y87*VLOOKUP($AA87,'SKOR PPH'!$B$13:$D$21,3,FALSE)</f>
        <v>0</v>
      </c>
      <c r="AT87" s="238">
        <f>Z87*VLOOKUP($AA87,'SKOR PPH'!$B$13:$D$21,3,FALSE)</f>
        <v>0</v>
      </c>
      <c r="AU87" s="238">
        <f>$AF87*VLOOKUP($AA87,'SKOR PPH'!$B$13:$D$21,3,FALSE)</f>
        <v>0</v>
      </c>
    </row>
    <row r="88" spans="2:47" ht="15" customHeight="1" x14ac:dyDescent="0.2">
      <c r="B88" s="199" t="s">
        <v>56</v>
      </c>
      <c r="C88" s="207">
        <v>1000</v>
      </c>
      <c r="D88" s="149">
        <v>1213.3</v>
      </c>
      <c r="E88" s="243">
        <v>149.83000000000001</v>
      </c>
      <c r="F88" s="149">
        <v>60</v>
      </c>
      <c r="G88" s="261">
        <v>8.33</v>
      </c>
      <c r="H88" s="208" t="s">
        <v>200</v>
      </c>
      <c r="I88" s="311">
        <v>0</v>
      </c>
      <c r="J88" s="311">
        <v>0</v>
      </c>
      <c r="K88" s="311">
        <v>0</v>
      </c>
      <c r="L88" s="144">
        <f t="shared" si="141"/>
        <v>0</v>
      </c>
      <c r="M88" s="144">
        <f t="shared" si="142"/>
        <v>0</v>
      </c>
      <c r="N88" s="144">
        <f t="shared" si="143"/>
        <v>0</v>
      </c>
      <c r="O88" s="144">
        <f t="shared" si="144"/>
        <v>0</v>
      </c>
      <c r="P88" s="144">
        <f t="shared" si="145"/>
        <v>0</v>
      </c>
      <c r="Q88" s="144">
        <f t="shared" si="146"/>
        <v>0</v>
      </c>
      <c r="R88" s="144">
        <f t="shared" si="147"/>
        <v>0</v>
      </c>
      <c r="S88" s="144">
        <f t="shared" si="148"/>
        <v>0</v>
      </c>
      <c r="T88" s="144">
        <f t="shared" si="149"/>
        <v>0</v>
      </c>
      <c r="U88" s="144">
        <f t="shared" si="150"/>
        <v>0</v>
      </c>
      <c r="V88" s="338">
        <f t="shared" si="151"/>
        <v>0</v>
      </c>
      <c r="W88" s="338">
        <f t="shared" si="152"/>
        <v>0</v>
      </c>
      <c r="X88" s="338">
        <f t="shared" si="153"/>
        <v>0</v>
      </c>
      <c r="Y88" s="338">
        <f t="shared" si="154"/>
        <v>0</v>
      </c>
      <c r="Z88" s="338">
        <f t="shared" si="155"/>
        <v>0</v>
      </c>
      <c r="AA88" s="176">
        <v>3</v>
      </c>
      <c r="AB88" s="201">
        <v>9</v>
      </c>
      <c r="AC88" s="240">
        <v>0.4</v>
      </c>
      <c r="AD88" s="238">
        <f t="shared" si="138"/>
        <v>0</v>
      </c>
      <c r="AE88" s="238">
        <f t="shared" si="139"/>
        <v>0</v>
      </c>
      <c r="AF88" s="238">
        <f t="shared" si="140"/>
        <v>0</v>
      </c>
      <c r="AG88" s="238">
        <f>M88*VLOOKUP($AA88,'SKOR PPH'!$B$13:$D$21,3,FALSE)</f>
        <v>0</v>
      </c>
      <c r="AH88" s="238">
        <f>N88*VLOOKUP($AA88,'SKOR PPH'!$B$13:$D$21,3,FALSE)</f>
        <v>0</v>
      </c>
      <c r="AI88" s="238">
        <f>O88*VLOOKUP($AA88,'SKOR PPH'!$B$13:$D$21,3,FALSE)</f>
        <v>0</v>
      </c>
      <c r="AJ88" s="238">
        <f>P88*VLOOKUP($AA88,'SKOR PPH'!$B$13:$D$21,3,FALSE)</f>
        <v>0</v>
      </c>
      <c r="AK88" s="238">
        <f>$AD88*VLOOKUP($AA88,'SKOR PPH'!$B$13:$D$21,3,FALSE)</f>
        <v>0</v>
      </c>
      <c r="AL88" s="238">
        <f>R88*VLOOKUP($AA88,'SKOR PPH'!$B$13:$D$21,3,FALSE)</f>
        <v>0</v>
      </c>
      <c r="AM88" s="238">
        <f>S88*VLOOKUP($AA88,'SKOR PPH'!$B$13:$D$21,3,FALSE)</f>
        <v>0</v>
      </c>
      <c r="AN88" s="238">
        <f>T88*VLOOKUP($AA88,'SKOR PPH'!$B$13:$D$21,3,FALSE)</f>
        <v>0</v>
      </c>
      <c r="AO88" s="238">
        <f>U88*VLOOKUP($AA88,'SKOR PPH'!$B$13:$D$21,3,FALSE)</f>
        <v>0</v>
      </c>
      <c r="AP88" s="238">
        <f>$AE88*VLOOKUP($AA88,'SKOR PPH'!$B$13:$D$21,3,FALSE)</f>
        <v>0</v>
      </c>
      <c r="AQ88" s="238">
        <f>W88*VLOOKUP($AA88,'SKOR PPH'!$B$13:$D$21,3,FALSE)</f>
        <v>0</v>
      </c>
      <c r="AR88" s="238">
        <f>X88*VLOOKUP($AA88,'SKOR PPH'!$B$13:$D$21,3,FALSE)</f>
        <v>0</v>
      </c>
      <c r="AS88" s="238">
        <f>Y88*VLOOKUP($AA88,'SKOR PPH'!$B$13:$D$21,3,FALSE)</f>
        <v>0</v>
      </c>
      <c r="AT88" s="238">
        <f>Z88*VLOOKUP($AA88,'SKOR PPH'!$B$13:$D$21,3,FALSE)</f>
        <v>0</v>
      </c>
      <c r="AU88" s="238">
        <f>$AF88*VLOOKUP($AA88,'SKOR PPH'!$B$13:$D$21,3,FALSE)</f>
        <v>0</v>
      </c>
    </row>
    <row r="89" spans="2:47" ht="15" customHeight="1" x14ac:dyDescent="0.2">
      <c r="B89" s="199" t="s">
        <v>57</v>
      </c>
      <c r="C89" s="207">
        <v>1000</v>
      </c>
      <c r="D89" s="149">
        <v>1280</v>
      </c>
      <c r="E89" s="243">
        <v>155.30000000000001</v>
      </c>
      <c r="F89" s="149">
        <v>65</v>
      </c>
      <c r="G89" s="261">
        <v>8</v>
      </c>
      <c r="H89" s="208" t="s">
        <v>200</v>
      </c>
      <c r="I89" s="311">
        <v>0</v>
      </c>
      <c r="J89" s="311">
        <v>0</v>
      </c>
      <c r="K89" s="311">
        <v>0</v>
      </c>
      <c r="L89" s="144">
        <f t="shared" si="141"/>
        <v>0</v>
      </c>
      <c r="M89" s="144">
        <f t="shared" si="142"/>
        <v>0</v>
      </c>
      <c r="N89" s="144">
        <f t="shared" si="143"/>
        <v>0</v>
      </c>
      <c r="O89" s="144">
        <f t="shared" si="144"/>
        <v>0</v>
      </c>
      <c r="P89" s="144">
        <f t="shared" si="145"/>
        <v>0</v>
      </c>
      <c r="Q89" s="144">
        <f t="shared" si="146"/>
        <v>0</v>
      </c>
      <c r="R89" s="144">
        <f t="shared" si="147"/>
        <v>0</v>
      </c>
      <c r="S89" s="144">
        <f t="shared" si="148"/>
        <v>0</v>
      </c>
      <c r="T89" s="144">
        <f t="shared" si="149"/>
        <v>0</v>
      </c>
      <c r="U89" s="144">
        <f t="shared" si="150"/>
        <v>0</v>
      </c>
      <c r="V89" s="338">
        <f t="shared" si="151"/>
        <v>0</v>
      </c>
      <c r="W89" s="338">
        <f t="shared" si="152"/>
        <v>0</v>
      </c>
      <c r="X89" s="338">
        <f t="shared" si="153"/>
        <v>0</v>
      </c>
      <c r="Y89" s="338">
        <f t="shared" si="154"/>
        <v>0</v>
      </c>
      <c r="Z89" s="338">
        <f t="shared" si="155"/>
        <v>0</v>
      </c>
      <c r="AA89" s="176">
        <v>3</v>
      </c>
      <c r="AB89" s="201">
        <v>9</v>
      </c>
      <c r="AC89" s="177">
        <v>0.2</v>
      </c>
      <c r="AD89" s="238">
        <f t="shared" si="138"/>
        <v>0</v>
      </c>
      <c r="AE89" s="238">
        <f t="shared" si="139"/>
        <v>0</v>
      </c>
      <c r="AF89" s="238">
        <f t="shared" si="140"/>
        <v>0</v>
      </c>
      <c r="AG89" s="238">
        <f>M89*VLOOKUP($AA89,'SKOR PPH'!$B$13:$D$21,3,FALSE)</f>
        <v>0</v>
      </c>
      <c r="AH89" s="238">
        <f>N89*VLOOKUP($AA89,'SKOR PPH'!$B$13:$D$21,3,FALSE)</f>
        <v>0</v>
      </c>
      <c r="AI89" s="238">
        <f>O89*VLOOKUP($AA89,'SKOR PPH'!$B$13:$D$21,3,FALSE)</f>
        <v>0</v>
      </c>
      <c r="AJ89" s="238">
        <f>P89*VLOOKUP($AA89,'SKOR PPH'!$B$13:$D$21,3,FALSE)</f>
        <v>0</v>
      </c>
      <c r="AK89" s="238">
        <f>$AD89*VLOOKUP($AA89,'SKOR PPH'!$B$13:$D$21,3,FALSE)</f>
        <v>0</v>
      </c>
      <c r="AL89" s="238">
        <f>R89*VLOOKUP($AA89,'SKOR PPH'!$B$13:$D$21,3,FALSE)</f>
        <v>0</v>
      </c>
      <c r="AM89" s="238">
        <f>S89*VLOOKUP($AA89,'SKOR PPH'!$B$13:$D$21,3,FALSE)</f>
        <v>0</v>
      </c>
      <c r="AN89" s="238">
        <f>T89*VLOOKUP($AA89,'SKOR PPH'!$B$13:$D$21,3,FALSE)</f>
        <v>0</v>
      </c>
      <c r="AO89" s="238">
        <f>U89*VLOOKUP($AA89,'SKOR PPH'!$B$13:$D$21,3,FALSE)</f>
        <v>0</v>
      </c>
      <c r="AP89" s="238">
        <f>$AE89*VLOOKUP($AA89,'SKOR PPH'!$B$13:$D$21,3,FALSE)</f>
        <v>0</v>
      </c>
      <c r="AQ89" s="238">
        <f>W89*VLOOKUP($AA89,'SKOR PPH'!$B$13:$D$21,3,FALSE)</f>
        <v>0</v>
      </c>
      <c r="AR89" s="238">
        <f>X89*VLOOKUP($AA89,'SKOR PPH'!$B$13:$D$21,3,FALSE)</f>
        <v>0</v>
      </c>
      <c r="AS89" s="238">
        <f>Y89*VLOOKUP($AA89,'SKOR PPH'!$B$13:$D$21,3,FALSE)</f>
        <v>0</v>
      </c>
      <c r="AT89" s="238">
        <f>Z89*VLOOKUP($AA89,'SKOR PPH'!$B$13:$D$21,3,FALSE)</f>
        <v>0</v>
      </c>
      <c r="AU89" s="238">
        <f>$AF89*VLOOKUP($AA89,'SKOR PPH'!$B$13:$D$21,3,FALSE)</f>
        <v>0</v>
      </c>
    </row>
    <row r="90" spans="2:47" ht="15" customHeight="1" x14ac:dyDescent="0.2">
      <c r="B90" s="199" t="s">
        <v>58</v>
      </c>
      <c r="C90" s="207">
        <v>1000</v>
      </c>
      <c r="D90" s="149">
        <v>1280</v>
      </c>
      <c r="E90" s="243">
        <v>155.30000000000001</v>
      </c>
      <c r="F90" s="149">
        <v>65</v>
      </c>
      <c r="G90" s="261">
        <v>8</v>
      </c>
      <c r="H90" s="208" t="s">
        <v>200</v>
      </c>
      <c r="I90" s="311">
        <v>0</v>
      </c>
      <c r="J90" s="311">
        <v>0</v>
      </c>
      <c r="K90" s="311">
        <v>0</v>
      </c>
      <c r="L90" s="144">
        <f t="shared" si="141"/>
        <v>0</v>
      </c>
      <c r="M90" s="144">
        <f t="shared" si="142"/>
        <v>0</v>
      </c>
      <c r="N90" s="144">
        <f t="shared" si="143"/>
        <v>0</v>
      </c>
      <c r="O90" s="144">
        <f t="shared" si="144"/>
        <v>0</v>
      </c>
      <c r="P90" s="144">
        <f t="shared" si="145"/>
        <v>0</v>
      </c>
      <c r="Q90" s="144">
        <f t="shared" si="146"/>
        <v>0</v>
      </c>
      <c r="R90" s="144">
        <f t="shared" si="147"/>
        <v>0</v>
      </c>
      <c r="S90" s="144">
        <f t="shared" si="148"/>
        <v>0</v>
      </c>
      <c r="T90" s="144">
        <f t="shared" si="149"/>
        <v>0</v>
      </c>
      <c r="U90" s="144">
        <f t="shared" si="150"/>
        <v>0</v>
      </c>
      <c r="V90" s="338">
        <f t="shared" si="151"/>
        <v>0</v>
      </c>
      <c r="W90" s="338">
        <f t="shared" si="152"/>
        <v>0</v>
      </c>
      <c r="X90" s="338">
        <f t="shared" si="153"/>
        <v>0</v>
      </c>
      <c r="Y90" s="338">
        <f t="shared" si="154"/>
        <v>0</v>
      </c>
      <c r="Z90" s="338">
        <f t="shared" si="155"/>
        <v>0</v>
      </c>
      <c r="AA90" s="176">
        <v>3</v>
      </c>
      <c r="AB90" s="201">
        <v>9</v>
      </c>
      <c r="AC90" s="177">
        <v>0.05</v>
      </c>
      <c r="AD90" s="238">
        <f t="shared" si="138"/>
        <v>0</v>
      </c>
      <c r="AE90" s="238">
        <f t="shared" si="139"/>
        <v>0</v>
      </c>
      <c r="AF90" s="238">
        <f t="shared" si="140"/>
        <v>0</v>
      </c>
      <c r="AG90" s="238">
        <f>M90*VLOOKUP($AA90,'SKOR PPH'!$B$13:$D$21,3,FALSE)</f>
        <v>0</v>
      </c>
      <c r="AH90" s="238">
        <f>N90*VLOOKUP($AA90,'SKOR PPH'!$B$13:$D$21,3,FALSE)</f>
        <v>0</v>
      </c>
      <c r="AI90" s="238">
        <f>O90*VLOOKUP($AA90,'SKOR PPH'!$B$13:$D$21,3,FALSE)</f>
        <v>0</v>
      </c>
      <c r="AJ90" s="238">
        <f>P90*VLOOKUP($AA90,'SKOR PPH'!$B$13:$D$21,3,FALSE)</f>
        <v>0</v>
      </c>
      <c r="AK90" s="238">
        <f>$AD90*VLOOKUP($AA90,'SKOR PPH'!$B$13:$D$21,3,FALSE)</f>
        <v>0</v>
      </c>
      <c r="AL90" s="238">
        <f>R90*VLOOKUP($AA90,'SKOR PPH'!$B$13:$D$21,3,FALSE)</f>
        <v>0</v>
      </c>
      <c r="AM90" s="238">
        <f>S90*VLOOKUP($AA90,'SKOR PPH'!$B$13:$D$21,3,FALSE)</f>
        <v>0</v>
      </c>
      <c r="AN90" s="238">
        <f>T90*VLOOKUP($AA90,'SKOR PPH'!$B$13:$D$21,3,FALSE)</f>
        <v>0</v>
      </c>
      <c r="AO90" s="238">
        <f>U90*VLOOKUP($AA90,'SKOR PPH'!$B$13:$D$21,3,FALSE)</f>
        <v>0</v>
      </c>
      <c r="AP90" s="238">
        <f>$AE90*VLOOKUP($AA90,'SKOR PPH'!$B$13:$D$21,3,FALSE)</f>
        <v>0</v>
      </c>
      <c r="AQ90" s="238">
        <f>W90*VLOOKUP($AA90,'SKOR PPH'!$B$13:$D$21,3,FALSE)</f>
        <v>0</v>
      </c>
      <c r="AR90" s="238">
        <f>X90*VLOOKUP($AA90,'SKOR PPH'!$B$13:$D$21,3,FALSE)</f>
        <v>0</v>
      </c>
      <c r="AS90" s="238">
        <f>Y90*VLOOKUP($AA90,'SKOR PPH'!$B$13:$D$21,3,FALSE)</f>
        <v>0</v>
      </c>
      <c r="AT90" s="238">
        <f>Z90*VLOOKUP($AA90,'SKOR PPH'!$B$13:$D$21,3,FALSE)</f>
        <v>0</v>
      </c>
      <c r="AU90" s="238">
        <f>$AF90*VLOOKUP($AA90,'SKOR PPH'!$B$13:$D$21,3,FALSE)</f>
        <v>0</v>
      </c>
    </row>
    <row r="91" spans="2:47" ht="15" customHeight="1" x14ac:dyDescent="0.2">
      <c r="B91" s="199" t="s">
        <v>33</v>
      </c>
      <c r="C91" s="207">
        <v>1000</v>
      </c>
      <c r="D91" s="149">
        <v>905</v>
      </c>
      <c r="E91" s="243">
        <v>178.5</v>
      </c>
      <c r="F91" s="149">
        <v>15</v>
      </c>
      <c r="G91" s="261">
        <v>3.5</v>
      </c>
      <c r="H91" s="208" t="s">
        <v>200</v>
      </c>
      <c r="I91" s="311">
        <v>0</v>
      </c>
      <c r="J91" s="311">
        <v>0</v>
      </c>
      <c r="K91" s="311">
        <v>0</v>
      </c>
      <c r="L91" s="144">
        <f t="shared" si="141"/>
        <v>0</v>
      </c>
      <c r="M91" s="144">
        <f t="shared" si="142"/>
        <v>0</v>
      </c>
      <c r="N91" s="144">
        <f t="shared" si="143"/>
        <v>0</v>
      </c>
      <c r="O91" s="144">
        <f t="shared" si="144"/>
        <v>0</v>
      </c>
      <c r="P91" s="144">
        <f t="shared" si="145"/>
        <v>0</v>
      </c>
      <c r="Q91" s="144">
        <f t="shared" si="146"/>
        <v>0</v>
      </c>
      <c r="R91" s="144">
        <f t="shared" si="147"/>
        <v>0</v>
      </c>
      <c r="S91" s="144">
        <f t="shared" si="148"/>
        <v>0</v>
      </c>
      <c r="T91" s="144">
        <f t="shared" si="149"/>
        <v>0</v>
      </c>
      <c r="U91" s="144">
        <f t="shared" si="150"/>
        <v>0</v>
      </c>
      <c r="V91" s="338">
        <f t="shared" si="151"/>
        <v>0</v>
      </c>
      <c r="W91" s="338">
        <f t="shared" si="152"/>
        <v>0</v>
      </c>
      <c r="X91" s="338">
        <f t="shared" si="153"/>
        <v>0</v>
      </c>
      <c r="Y91" s="338">
        <f t="shared" si="154"/>
        <v>0</v>
      </c>
      <c r="Z91" s="338">
        <f t="shared" si="155"/>
        <v>0</v>
      </c>
      <c r="AA91" s="176">
        <v>3</v>
      </c>
      <c r="AB91" s="201">
        <v>9</v>
      </c>
      <c r="AC91" s="177">
        <v>1</v>
      </c>
      <c r="AD91" s="238">
        <f t="shared" si="138"/>
        <v>0</v>
      </c>
      <c r="AE91" s="238">
        <f t="shared" si="139"/>
        <v>0</v>
      </c>
      <c r="AF91" s="238">
        <f t="shared" si="140"/>
        <v>0</v>
      </c>
      <c r="AG91" s="238">
        <f>M91*VLOOKUP($AA91,'SKOR PPH'!$B$13:$D$21,3,FALSE)</f>
        <v>0</v>
      </c>
      <c r="AH91" s="238">
        <f>N91*VLOOKUP($AA91,'SKOR PPH'!$B$13:$D$21,3,FALSE)</f>
        <v>0</v>
      </c>
      <c r="AI91" s="238">
        <f>O91*VLOOKUP($AA91,'SKOR PPH'!$B$13:$D$21,3,FALSE)</f>
        <v>0</v>
      </c>
      <c r="AJ91" s="238">
        <f>P91*VLOOKUP($AA91,'SKOR PPH'!$B$13:$D$21,3,FALSE)</f>
        <v>0</v>
      </c>
      <c r="AK91" s="238">
        <f>$AD91*VLOOKUP($AA91,'SKOR PPH'!$B$13:$D$21,3,FALSE)</f>
        <v>0</v>
      </c>
      <c r="AL91" s="238">
        <f>R91*VLOOKUP($AA91,'SKOR PPH'!$B$13:$D$21,3,FALSE)</f>
        <v>0</v>
      </c>
      <c r="AM91" s="238">
        <f>S91*VLOOKUP($AA91,'SKOR PPH'!$B$13:$D$21,3,FALSE)</f>
        <v>0</v>
      </c>
      <c r="AN91" s="238">
        <f>T91*VLOOKUP($AA91,'SKOR PPH'!$B$13:$D$21,3,FALSE)</f>
        <v>0</v>
      </c>
      <c r="AO91" s="238">
        <f>U91*VLOOKUP($AA91,'SKOR PPH'!$B$13:$D$21,3,FALSE)</f>
        <v>0</v>
      </c>
      <c r="AP91" s="238">
        <f>$AE91*VLOOKUP($AA91,'SKOR PPH'!$B$13:$D$21,3,FALSE)</f>
        <v>0</v>
      </c>
      <c r="AQ91" s="238">
        <f>W91*VLOOKUP($AA91,'SKOR PPH'!$B$13:$D$21,3,FALSE)</f>
        <v>0</v>
      </c>
      <c r="AR91" s="238">
        <f>X91*VLOOKUP($AA91,'SKOR PPH'!$B$13:$D$21,3,FALSE)</f>
        <v>0</v>
      </c>
      <c r="AS91" s="238">
        <f>Y91*VLOOKUP($AA91,'SKOR PPH'!$B$13:$D$21,3,FALSE)</f>
        <v>0</v>
      </c>
      <c r="AT91" s="238">
        <f>Z91*VLOOKUP($AA91,'SKOR PPH'!$B$13:$D$21,3,FALSE)</f>
        <v>0</v>
      </c>
      <c r="AU91" s="238">
        <f>$AF91*VLOOKUP($AA91,'SKOR PPH'!$B$13:$D$21,3,FALSE)</f>
        <v>0</v>
      </c>
    </row>
    <row r="92" spans="2:47" ht="15" customHeight="1" x14ac:dyDescent="0.2">
      <c r="B92" s="211"/>
      <c r="C92" s="187"/>
      <c r="D92" s="188"/>
      <c r="E92" s="248"/>
      <c r="F92" s="188"/>
      <c r="G92" s="188"/>
      <c r="H92" s="267"/>
      <c r="I92" s="314"/>
      <c r="J92" s="314"/>
      <c r="K92" s="314"/>
      <c r="L92" s="127"/>
      <c r="M92" s="182"/>
      <c r="N92" s="127"/>
      <c r="O92" s="189"/>
      <c r="P92" s="189"/>
      <c r="Q92" s="127"/>
      <c r="R92" s="182"/>
      <c r="S92" s="127"/>
      <c r="T92" s="189"/>
      <c r="U92" s="189"/>
      <c r="V92" s="127"/>
      <c r="W92" s="182"/>
      <c r="X92" s="127"/>
      <c r="Y92" s="189"/>
      <c r="Z92" s="189"/>
      <c r="AA92" s="190"/>
      <c r="AB92" s="190"/>
      <c r="AC92" s="191"/>
      <c r="AD92" s="236"/>
      <c r="AE92" s="236"/>
      <c r="AF92" s="236"/>
      <c r="AG92" s="236"/>
      <c r="AH92" s="236"/>
      <c r="AI92" s="236"/>
      <c r="AJ92" s="236"/>
      <c r="AK92" s="236"/>
      <c r="AL92" s="236"/>
      <c r="AM92" s="236"/>
      <c r="AN92" s="236"/>
      <c r="AO92" s="236"/>
      <c r="AP92" s="236"/>
      <c r="AQ92" s="236"/>
      <c r="AR92" s="236"/>
      <c r="AS92" s="236"/>
      <c r="AT92" s="236"/>
      <c r="AU92" s="236"/>
    </row>
    <row r="93" spans="2:47" ht="15" customHeight="1" x14ac:dyDescent="0.2">
      <c r="B93" s="186" t="s">
        <v>59</v>
      </c>
      <c r="C93" s="187"/>
      <c r="D93" s="188"/>
      <c r="E93" s="248"/>
      <c r="F93" s="188"/>
      <c r="G93" s="188"/>
      <c r="H93" s="267"/>
      <c r="I93" s="314"/>
      <c r="J93" s="314"/>
      <c r="K93" s="314"/>
      <c r="L93" s="170"/>
      <c r="M93" s="170"/>
      <c r="N93" s="170"/>
      <c r="O93" s="171"/>
      <c r="P93" s="171"/>
      <c r="Q93" s="170"/>
      <c r="R93" s="170"/>
      <c r="S93" s="170"/>
      <c r="T93" s="171"/>
      <c r="U93" s="171"/>
      <c r="V93" s="170"/>
      <c r="W93" s="170"/>
      <c r="X93" s="170"/>
      <c r="Y93" s="171"/>
      <c r="Z93" s="171"/>
      <c r="AA93" s="190"/>
      <c r="AB93" s="190"/>
      <c r="AC93" s="191"/>
      <c r="AD93" s="236"/>
      <c r="AE93" s="236"/>
      <c r="AF93" s="236"/>
      <c r="AG93" s="236"/>
      <c r="AH93" s="236"/>
      <c r="AI93" s="236"/>
      <c r="AJ93" s="236"/>
      <c r="AK93" s="236"/>
      <c r="AL93" s="236"/>
      <c r="AM93" s="236"/>
      <c r="AN93" s="236"/>
      <c r="AO93" s="236"/>
      <c r="AP93" s="236"/>
      <c r="AQ93" s="236"/>
      <c r="AR93" s="236"/>
      <c r="AS93" s="236"/>
      <c r="AT93" s="236"/>
      <c r="AU93" s="236"/>
    </row>
    <row r="94" spans="2:47" ht="15" customHeight="1" x14ac:dyDescent="0.2">
      <c r="B94" s="199" t="s">
        <v>304</v>
      </c>
      <c r="C94" s="212">
        <v>1000</v>
      </c>
      <c r="D94" s="149">
        <v>1370.6</v>
      </c>
      <c r="E94" s="243">
        <v>110.36</v>
      </c>
      <c r="F94" s="149">
        <v>96.12</v>
      </c>
      <c r="G94" s="261">
        <v>6.23</v>
      </c>
      <c r="H94" s="208" t="s">
        <v>200</v>
      </c>
      <c r="I94" s="311">
        <v>0.22552993249757197</v>
      </c>
      <c r="J94" s="311">
        <v>1.1092763423159102</v>
      </c>
      <c r="K94" s="311">
        <v>1.3348062748134817</v>
      </c>
      <c r="L94" s="144">
        <f t="shared" ref="L94:L106" si="156">$I94*C94/7</f>
        <v>32.21856178536742</v>
      </c>
      <c r="M94" s="144">
        <f t="shared" ref="M94:M106" si="157">$I94*D94/7</f>
        <v>44.15876078302459</v>
      </c>
      <c r="N94" s="144">
        <f t="shared" ref="N94:N106" si="158">$I94*E94/7</f>
        <v>3.5556404786331486</v>
      </c>
      <c r="O94" s="144">
        <f t="shared" ref="O94:O106" si="159">$I94*F94/7</f>
        <v>3.0968481588095171</v>
      </c>
      <c r="P94" s="144">
        <f t="shared" ref="P94:P106" si="160">$I94*G94/7</f>
        <v>0.20072163992283906</v>
      </c>
      <c r="Q94" s="144">
        <f t="shared" ref="Q94:Q106" si="161">$J94*C94/7</f>
        <v>158.46804890227287</v>
      </c>
      <c r="R94" s="144">
        <f t="shared" ref="R94:R106" si="162">$J94*D94/7</f>
        <v>217.19630782545522</v>
      </c>
      <c r="S94" s="144">
        <f t="shared" ref="S94:S106" si="163">$J94*E94/7</f>
        <v>17.488533876854834</v>
      </c>
      <c r="T94" s="144">
        <f t="shared" ref="T94:T106" si="164">$J94*F94/7</f>
        <v>15.231948860486471</v>
      </c>
      <c r="U94" s="144">
        <f t="shared" ref="U94:U106" si="165">$J94*G94/7</f>
        <v>0.98725594466116018</v>
      </c>
      <c r="V94" s="338">
        <f t="shared" ref="V94:V106" si="166">$K94*C94/7</f>
        <v>190.68661068764024</v>
      </c>
      <c r="W94" s="338">
        <f t="shared" ref="W94:W106" si="167">$K94*D94/7</f>
        <v>261.35506860847971</v>
      </c>
      <c r="X94" s="338">
        <f t="shared" ref="X94:X106" si="168">$K94*E94/7</f>
        <v>21.044174355487975</v>
      </c>
      <c r="Y94" s="338">
        <f t="shared" ref="Y94:Y106" si="169">$K94*F94/7</f>
        <v>18.328797019295983</v>
      </c>
      <c r="Z94" s="338">
        <f t="shared" ref="Z94:Z106" si="170">$K94*G94/7</f>
        <v>1.1879775845839988</v>
      </c>
      <c r="AA94" s="176">
        <v>3</v>
      </c>
      <c r="AB94" s="176">
        <v>11</v>
      </c>
      <c r="AC94" s="177">
        <v>1</v>
      </c>
      <c r="AD94" s="238">
        <f t="shared" ref="AD94:AD106" si="171">$L94*$AC94</f>
        <v>32.21856178536742</v>
      </c>
      <c r="AE94" s="238">
        <f t="shared" ref="AE94:AE106" si="172">$Q94*$AC94</f>
        <v>158.46804890227287</v>
      </c>
      <c r="AF94" s="238">
        <f t="shared" ref="AF94:AF106" si="173">$V94*$AC94</f>
        <v>190.68661068764024</v>
      </c>
      <c r="AG94" s="238">
        <f>M94*VLOOKUP($AA94,'SKOR PPH'!$B$13:$D$21,3,FALSE)</f>
        <v>47.841601432328837</v>
      </c>
      <c r="AH94" s="238">
        <f>N94*VLOOKUP($AA94,'SKOR PPH'!$B$13:$D$21,3,FALSE)</f>
        <v>3.8521808945511529</v>
      </c>
      <c r="AI94" s="238">
        <f>O94*VLOOKUP($AA94,'SKOR PPH'!$B$13:$D$21,3,FALSE)</f>
        <v>3.3551252952542305</v>
      </c>
      <c r="AJ94" s="238">
        <f>P94*VLOOKUP($AA94,'SKOR PPH'!$B$13:$D$21,3,FALSE)</f>
        <v>0.21746182469240383</v>
      </c>
      <c r="AK94" s="238">
        <f>$AD94*VLOOKUP($AA94,'SKOR PPH'!$B$13:$D$21,3,FALSE)</f>
        <v>34.905589838267062</v>
      </c>
      <c r="AL94" s="238">
        <f>R94*VLOOKUP($AA94,'SKOR PPH'!$B$13:$D$21,3,FALSE)</f>
        <v>235.31047989809818</v>
      </c>
      <c r="AM94" s="238">
        <f>S94*VLOOKUP($AA94,'SKOR PPH'!$B$13:$D$21,3,FALSE)</f>
        <v>18.947077602184525</v>
      </c>
      <c r="AN94" s="238">
        <f>T94*VLOOKUP($AA94,'SKOR PPH'!$B$13:$D$21,3,FALSE)</f>
        <v>16.502293395451041</v>
      </c>
      <c r="AO94" s="238">
        <f>U94*VLOOKUP($AA94,'SKOR PPH'!$B$13:$D$21,3,FALSE)</f>
        <v>1.0695930904459008</v>
      </c>
      <c r="AP94" s="238">
        <f>$AE94*VLOOKUP($AA94,'SKOR PPH'!$B$13:$D$21,3,FALSE)</f>
        <v>171.68428418072241</v>
      </c>
      <c r="AQ94" s="238">
        <f>W94*VLOOKUP($AA94,'SKOR PPH'!$B$13:$D$21,3,FALSE)</f>
        <v>283.15208133042688</v>
      </c>
      <c r="AR94" s="238">
        <f>X94*VLOOKUP($AA94,'SKOR PPH'!$B$13:$D$21,3,FALSE)</f>
        <v>22.799258496735671</v>
      </c>
      <c r="AS94" s="238">
        <f>Y94*VLOOKUP($AA94,'SKOR PPH'!$B$13:$D$21,3,FALSE)</f>
        <v>19.857418690705266</v>
      </c>
      <c r="AT94" s="238">
        <f>Z94*VLOOKUP($AA94,'SKOR PPH'!$B$13:$D$21,3,FALSE)</f>
        <v>1.2870549151383042</v>
      </c>
      <c r="AU94" s="238">
        <f>$AF94*VLOOKUP($AA94,'SKOR PPH'!$B$13:$D$21,3,FALSE)</f>
        <v>206.58987401898943</v>
      </c>
    </row>
    <row r="95" spans="2:47" ht="15" customHeight="1" x14ac:dyDescent="0.2">
      <c r="B95" s="199" t="s">
        <v>305</v>
      </c>
      <c r="C95" s="212">
        <v>50</v>
      </c>
      <c r="D95" s="149">
        <v>68.900000000000006</v>
      </c>
      <c r="E95" s="243">
        <v>4.5199999999999996</v>
      </c>
      <c r="F95" s="149">
        <v>5.32</v>
      </c>
      <c r="G95" s="261">
        <v>0.28000000000000003</v>
      </c>
      <c r="H95" s="208" t="s">
        <v>60</v>
      </c>
      <c r="I95" s="311">
        <v>3.7683397910231228E-3</v>
      </c>
      <c r="J95" s="311">
        <v>6.3338357630037867E-2</v>
      </c>
      <c r="K95" s="311">
        <v>6.7106697421061026E-2</v>
      </c>
      <c r="L95" s="144">
        <f t="shared" si="156"/>
        <v>2.6916712793022303E-2</v>
      </c>
      <c r="M95" s="144">
        <f t="shared" si="157"/>
        <v>3.7091230228784737E-2</v>
      </c>
      <c r="N95" s="144">
        <f t="shared" si="158"/>
        <v>2.433270836489216E-3</v>
      </c>
      <c r="O95" s="144">
        <f t="shared" si="159"/>
        <v>2.8639382411775735E-3</v>
      </c>
      <c r="P95" s="144">
        <f t="shared" si="160"/>
        <v>1.5073359164092493E-4</v>
      </c>
      <c r="Q95" s="144">
        <f t="shared" si="161"/>
        <v>0.45241684021455619</v>
      </c>
      <c r="R95" s="144">
        <f t="shared" si="162"/>
        <v>0.62343040581565845</v>
      </c>
      <c r="S95" s="144">
        <f t="shared" si="163"/>
        <v>4.0898482355395879E-2</v>
      </c>
      <c r="T95" s="144">
        <f t="shared" si="164"/>
        <v>4.8137151798828777E-2</v>
      </c>
      <c r="U95" s="144">
        <f t="shared" si="165"/>
        <v>2.5335343052015147E-3</v>
      </c>
      <c r="V95" s="338">
        <f t="shared" si="166"/>
        <v>0.47933355300757879</v>
      </c>
      <c r="W95" s="338">
        <f t="shared" si="167"/>
        <v>0.66052163604444358</v>
      </c>
      <c r="X95" s="338">
        <f t="shared" si="168"/>
        <v>4.3331753191885113E-2</v>
      </c>
      <c r="Y95" s="338">
        <f t="shared" si="169"/>
        <v>5.1001090040006379E-2</v>
      </c>
      <c r="Z95" s="338">
        <f t="shared" si="170"/>
        <v>2.6842678968424412E-3</v>
      </c>
      <c r="AA95" s="176">
        <v>3</v>
      </c>
      <c r="AB95" s="176">
        <v>11</v>
      </c>
      <c r="AC95" s="177">
        <v>1</v>
      </c>
      <c r="AD95" s="238">
        <f t="shared" si="171"/>
        <v>2.6916712793022303E-2</v>
      </c>
      <c r="AE95" s="238">
        <f t="shared" si="172"/>
        <v>0.45241684021455619</v>
      </c>
      <c r="AF95" s="238">
        <f t="shared" si="173"/>
        <v>0.47933355300757879</v>
      </c>
      <c r="AG95" s="232">
        <f>M95*VLOOKUP($AA95,'SKOR PPH'!$B$13:$D$21,3,FALSE)</f>
        <v>4.0184638829865379E-2</v>
      </c>
      <c r="AH95" s="232">
        <f>N95*VLOOKUP($AA95,'SKOR PPH'!$B$13:$D$21,3,FALSE)</f>
        <v>2.6362056242524162E-3</v>
      </c>
      <c r="AI95" s="232">
        <f>O95*VLOOKUP($AA95,'SKOR PPH'!$B$13:$D$21,3,FALSE)</f>
        <v>3.1027906904917829E-3</v>
      </c>
      <c r="AJ95" s="232">
        <f>P95*VLOOKUP($AA95,'SKOR PPH'!$B$13:$D$21,3,FALSE)</f>
        <v>1.6330477318377806E-4</v>
      </c>
      <c r="AK95" s="232">
        <f>$AD95*VLOOKUP($AA95,'SKOR PPH'!$B$13:$D$21,3,FALSE)</f>
        <v>2.9161566639960362E-2</v>
      </c>
      <c r="AL95" s="232">
        <f>R95*VLOOKUP($AA95,'SKOR PPH'!$B$13:$D$21,3,FALSE)</f>
        <v>0.67542450166068435</v>
      </c>
      <c r="AM95" s="232">
        <f>S95*VLOOKUP($AA95,'SKOR PPH'!$B$13:$D$21,3,FALSE)</f>
        <v>4.430941578383589E-2</v>
      </c>
      <c r="AN95" s="232">
        <f>T95*VLOOKUP($AA95,'SKOR PPH'!$B$13:$D$21,3,FALSE)</f>
        <v>5.215179025885109E-2</v>
      </c>
      <c r="AO95" s="232">
        <f>U95*VLOOKUP($AA95,'SKOR PPH'!$B$13:$D$21,3,FALSE)</f>
        <v>2.7448310662553208E-3</v>
      </c>
      <c r="AP95" s="232">
        <f>$AE95*VLOOKUP($AA95,'SKOR PPH'!$B$13:$D$21,3,FALSE)</f>
        <v>0.49014840468845017</v>
      </c>
      <c r="AQ95" s="232">
        <f>W95*VLOOKUP($AA95,'SKOR PPH'!$B$13:$D$21,3,FALSE)</f>
        <v>0.71560914049055013</v>
      </c>
      <c r="AR95" s="232">
        <f>X95*VLOOKUP($AA95,'SKOR PPH'!$B$13:$D$21,3,FALSE)</f>
        <v>4.6945621408088327E-2</v>
      </c>
      <c r="AS95" s="232">
        <f>Y95*VLOOKUP($AA95,'SKOR PPH'!$B$13:$D$21,3,FALSE)</f>
        <v>5.5254580949342907E-2</v>
      </c>
      <c r="AT95" s="232">
        <f>Z95*VLOOKUP($AA95,'SKOR PPH'!$B$13:$D$21,3,FALSE)</f>
        <v>2.9081358394391008E-3</v>
      </c>
      <c r="AU95" s="232">
        <f>$AF95*VLOOKUP($AA95,'SKOR PPH'!$B$13:$D$21,3,FALSE)</f>
        <v>0.51930997132841084</v>
      </c>
    </row>
    <row r="96" spans="2:47" ht="15" customHeight="1" x14ac:dyDescent="0.2">
      <c r="B96" s="199" t="s">
        <v>306</v>
      </c>
      <c r="C96" s="212">
        <v>70</v>
      </c>
      <c r="D96" s="149">
        <v>125.4</v>
      </c>
      <c r="E96" s="243">
        <v>7.76</v>
      </c>
      <c r="F96" s="149">
        <v>10.18</v>
      </c>
      <c r="G96" s="261">
        <v>0</v>
      </c>
      <c r="H96" s="208" t="s">
        <v>60</v>
      </c>
      <c r="I96" s="311">
        <v>1.4466252180651281E-2</v>
      </c>
      <c r="J96" s="311">
        <v>1.4939309664765052E-2</v>
      </c>
      <c r="K96" s="311">
        <v>2.9405561845416341E-2</v>
      </c>
      <c r="L96" s="144">
        <f t="shared" si="156"/>
        <v>0.14466252180651279</v>
      </c>
      <c r="M96" s="144">
        <f t="shared" si="157"/>
        <v>0.25915257477909581</v>
      </c>
      <c r="N96" s="144">
        <f t="shared" si="158"/>
        <v>1.6036873845979134E-2</v>
      </c>
      <c r="O96" s="144">
        <f t="shared" si="159"/>
        <v>2.103806388557572E-2</v>
      </c>
      <c r="P96" s="144">
        <f t="shared" si="160"/>
        <v>0</v>
      </c>
      <c r="Q96" s="144">
        <f t="shared" si="161"/>
        <v>0.14939309664765052</v>
      </c>
      <c r="R96" s="144">
        <f t="shared" si="162"/>
        <v>0.26762706170879108</v>
      </c>
      <c r="S96" s="144">
        <f t="shared" si="163"/>
        <v>1.6561291856939542E-2</v>
      </c>
      <c r="T96" s="144">
        <f t="shared" si="164"/>
        <v>2.1726024626758319E-2</v>
      </c>
      <c r="U96" s="144">
        <f t="shared" si="165"/>
        <v>0</v>
      </c>
      <c r="V96" s="338">
        <f t="shared" si="166"/>
        <v>0.29405561845416345</v>
      </c>
      <c r="W96" s="338">
        <f t="shared" si="167"/>
        <v>0.52677963648788706</v>
      </c>
      <c r="X96" s="338">
        <f t="shared" si="168"/>
        <v>3.2598165702918687E-2</v>
      </c>
      <c r="Y96" s="338">
        <f t="shared" si="169"/>
        <v>4.2764088512334049E-2</v>
      </c>
      <c r="Z96" s="338">
        <f t="shared" si="170"/>
        <v>0</v>
      </c>
      <c r="AA96" s="176">
        <v>3</v>
      </c>
      <c r="AB96" s="176">
        <v>11</v>
      </c>
      <c r="AC96" s="177">
        <v>1</v>
      </c>
      <c r="AD96" s="238">
        <f t="shared" si="171"/>
        <v>0.14466252180651279</v>
      </c>
      <c r="AE96" s="238">
        <f t="shared" si="172"/>
        <v>0.14939309664765052</v>
      </c>
      <c r="AF96" s="238">
        <f t="shared" si="173"/>
        <v>0.29405561845416345</v>
      </c>
      <c r="AG96" s="232">
        <f>M96*VLOOKUP($AA96,'SKOR PPH'!$B$13:$D$21,3,FALSE)</f>
        <v>0.28076589951567238</v>
      </c>
      <c r="AH96" s="232">
        <f>N96*VLOOKUP($AA96,'SKOR PPH'!$B$13:$D$21,3,FALSE)</f>
        <v>1.7374349124733793E-2</v>
      </c>
      <c r="AI96" s="232">
        <f>O96*VLOOKUP($AA96,'SKOR PPH'!$B$13:$D$21,3,FALSE)</f>
        <v>2.2792638413632733E-2</v>
      </c>
      <c r="AJ96" s="232">
        <f>P96*VLOOKUP($AA96,'SKOR PPH'!$B$13:$D$21,3,FALSE)</f>
        <v>0</v>
      </c>
      <c r="AK96" s="232">
        <f>$AD96*VLOOKUP($AA96,'SKOR PPH'!$B$13:$D$21,3,FALSE)</f>
        <v>0.15672737612517595</v>
      </c>
      <c r="AL96" s="232">
        <f>R96*VLOOKUP($AA96,'SKOR PPH'!$B$13:$D$21,3,FALSE)</f>
        <v>0.28994715865530424</v>
      </c>
      <c r="AM96" s="232">
        <f>S96*VLOOKUP($AA96,'SKOR PPH'!$B$13:$D$21,3,FALSE)</f>
        <v>1.7942503597808298E-2</v>
      </c>
      <c r="AN96" s="232">
        <f>T96*VLOOKUP($AA96,'SKOR PPH'!$B$13:$D$21,3,FALSE)</f>
        <v>2.353797508062996E-2</v>
      </c>
      <c r="AO96" s="232">
        <f>U96*VLOOKUP($AA96,'SKOR PPH'!$B$13:$D$21,3,FALSE)</f>
        <v>0</v>
      </c>
      <c r="AP96" s="232">
        <f>$AE96*VLOOKUP($AA96,'SKOR PPH'!$B$13:$D$21,3,FALSE)</f>
        <v>0.16185248090806456</v>
      </c>
      <c r="AQ96" s="232">
        <f>W96*VLOOKUP($AA96,'SKOR PPH'!$B$13:$D$21,3,FALSE)</f>
        <v>0.57071305817097684</v>
      </c>
      <c r="AR96" s="232">
        <f>X96*VLOOKUP($AA96,'SKOR PPH'!$B$13:$D$21,3,FALSE)</f>
        <v>3.5316852722542105E-2</v>
      </c>
      <c r="AS96" s="232">
        <f>Y96*VLOOKUP($AA96,'SKOR PPH'!$B$13:$D$21,3,FALSE)</f>
        <v>4.6330613494262707E-2</v>
      </c>
      <c r="AT96" s="232">
        <f>Z96*VLOOKUP($AA96,'SKOR PPH'!$B$13:$D$21,3,FALSE)</f>
        <v>0</v>
      </c>
      <c r="AU96" s="232">
        <f>$AF96*VLOOKUP($AA96,'SKOR PPH'!$B$13:$D$21,3,FALSE)</f>
        <v>0.31857985703324065</v>
      </c>
    </row>
    <row r="97" spans="2:47" ht="15" customHeight="1" x14ac:dyDescent="0.2">
      <c r="B97" s="199" t="s">
        <v>307</v>
      </c>
      <c r="C97" s="212">
        <v>20</v>
      </c>
      <c r="D97" s="149">
        <v>25.9</v>
      </c>
      <c r="E97" s="243">
        <v>2.16</v>
      </c>
      <c r="F97" s="149">
        <v>1.84</v>
      </c>
      <c r="G97" s="261">
        <v>0</v>
      </c>
      <c r="H97" s="208" t="s">
        <v>60</v>
      </c>
      <c r="I97" s="311">
        <v>0</v>
      </c>
      <c r="J97" s="311">
        <v>0.13823510855114576</v>
      </c>
      <c r="K97" s="311">
        <v>0.13823510855114576</v>
      </c>
      <c r="L97" s="144">
        <f t="shared" si="156"/>
        <v>0</v>
      </c>
      <c r="M97" s="144">
        <f t="shared" si="157"/>
        <v>0</v>
      </c>
      <c r="N97" s="144">
        <f t="shared" si="158"/>
        <v>0</v>
      </c>
      <c r="O97" s="144">
        <f t="shared" si="159"/>
        <v>0</v>
      </c>
      <c r="P97" s="144">
        <f t="shared" si="160"/>
        <v>0</v>
      </c>
      <c r="Q97" s="144">
        <f t="shared" si="161"/>
        <v>0.39495745300327362</v>
      </c>
      <c r="R97" s="144">
        <f t="shared" si="162"/>
        <v>0.51146990163923933</v>
      </c>
      <c r="S97" s="144">
        <f t="shared" si="163"/>
        <v>4.2655404924353553E-2</v>
      </c>
      <c r="T97" s="144">
        <f t="shared" si="164"/>
        <v>3.6336085676301179E-2</v>
      </c>
      <c r="U97" s="144">
        <f t="shared" si="165"/>
        <v>0</v>
      </c>
      <c r="V97" s="338">
        <f t="shared" si="166"/>
        <v>0.39495745300327362</v>
      </c>
      <c r="W97" s="338">
        <f t="shared" si="167"/>
        <v>0.51146990163923933</v>
      </c>
      <c r="X97" s="338">
        <f t="shared" si="168"/>
        <v>4.2655404924353553E-2</v>
      </c>
      <c r="Y97" s="338">
        <f t="shared" si="169"/>
        <v>3.6336085676301179E-2</v>
      </c>
      <c r="Z97" s="338">
        <f t="shared" si="170"/>
        <v>0</v>
      </c>
      <c r="AA97" s="176">
        <v>3</v>
      </c>
      <c r="AB97" s="176">
        <v>11</v>
      </c>
      <c r="AC97" s="177">
        <v>1</v>
      </c>
      <c r="AD97" s="238">
        <f t="shared" si="171"/>
        <v>0</v>
      </c>
      <c r="AE97" s="238">
        <f t="shared" si="172"/>
        <v>0.39495745300327362</v>
      </c>
      <c r="AF97" s="238">
        <f t="shared" si="173"/>
        <v>0.39495745300327362</v>
      </c>
      <c r="AG97" s="232">
        <f>M97*VLOOKUP($AA97,'SKOR PPH'!$B$13:$D$21,3,FALSE)</f>
        <v>0</v>
      </c>
      <c r="AH97" s="232">
        <f>N97*VLOOKUP($AA97,'SKOR PPH'!$B$13:$D$21,3,FALSE)</f>
        <v>0</v>
      </c>
      <c r="AI97" s="232">
        <f>O97*VLOOKUP($AA97,'SKOR PPH'!$B$13:$D$21,3,FALSE)</f>
        <v>0</v>
      </c>
      <c r="AJ97" s="232">
        <f>P97*VLOOKUP($AA97,'SKOR PPH'!$B$13:$D$21,3,FALSE)</f>
        <v>0</v>
      </c>
      <c r="AK97" s="232">
        <f>$AD97*VLOOKUP($AA97,'SKOR PPH'!$B$13:$D$21,3,FALSE)</f>
        <v>0</v>
      </c>
      <c r="AL97" s="232">
        <f>R97*VLOOKUP($AA97,'SKOR PPH'!$B$13:$D$21,3,FALSE)</f>
        <v>0.55412649143595183</v>
      </c>
      <c r="AM97" s="232">
        <f>S97*VLOOKUP($AA97,'SKOR PPH'!$B$13:$D$21,3,FALSE)</f>
        <v>4.6212865695044639E-2</v>
      </c>
      <c r="AN97" s="232">
        <f>T97*VLOOKUP($AA97,'SKOR PPH'!$B$13:$D$21,3,FALSE)</f>
        <v>3.9366515221704694E-2</v>
      </c>
      <c r="AO97" s="232">
        <f>U97*VLOOKUP($AA97,'SKOR PPH'!$B$13:$D$21,3,FALSE)</f>
        <v>0</v>
      </c>
      <c r="AP97" s="232">
        <f>$AE97*VLOOKUP($AA97,'SKOR PPH'!$B$13:$D$21,3,FALSE)</f>
        <v>0.42789690458374663</v>
      </c>
      <c r="AQ97" s="232">
        <f>W97*VLOOKUP($AA97,'SKOR PPH'!$B$13:$D$21,3,FALSE)</f>
        <v>0.55412649143595183</v>
      </c>
      <c r="AR97" s="232">
        <f>X97*VLOOKUP($AA97,'SKOR PPH'!$B$13:$D$21,3,FALSE)</f>
        <v>4.6212865695044639E-2</v>
      </c>
      <c r="AS97" s="232">
        <f>Y97*VLOOKUP($AA97,'SKOR PPH'!$B$13:$D$21,3,FALSE)</f>
        <v>3.9366515221704694E-2</v>
      </c>
      <c r="AT97" s="232">
        <f>Z97*VLOOKUP($AA97,'SKOR PPH'!$B$13:$D$21,3,FALSE)</f>
        <v>0</v>
      </c>
      <c r="AU97" s="232">
        <f>$AF97*VLOOKUP($AA97,'SKOR PPH'!$B$13:$D$21,3,FALSE)</f>
        <v>0.42789690458374663</v>
      </c>
    </row>
    <row r="98" spans="2:47" ht="15" customHeight="1" x14ac:dyDescent="0.2">
      <c r="B98" s="199" t="s">
        <v>308</v>
      </c>
      <c r="C98" s="212">
        <v>40</v>
      </c>
      <c r="D98" s="149">
        <v>51.8</v>
      </c>
      <c r="E98" s="243">
        <v>4.32</v>
      </c>
      <c r="F98" s="149">
        <v>3.67</v>
      </c>
      <c r="G98" s="261">
        <v>0</v>
      </c>
      <c r="H98" s="208" t="s">
        <v>60</v>
      </c>
      <c r="I98" s="311">
        <v>0</v>
      </c>
      <c r="J98" s="311">
        <v>0</v>
      </c>
      <c r="K98" s="311">
        <v>0</v>
      </c>
      <c r="L98" s="144">
        <f t="shared" si="156"/>
        <v>0</v>
      </c>
      <c r="M98" s="144">
        <f t="shared" si="157"/>
        <v>0</v>
      </c>
      <c r="N98" s="144">
        <f t="shared" si="158"/>
        <v>0</v>
      </c>
      <c r="O98" s="144">
        <f t="shared" si="159"/>
        <v>0</v>
      </c>
      <c r="P98" s="144">
        <f t="shared" si="160"/>
        <v>0</v>
      </c>
      <c r="Q98" s="144">
        <f t="shared" si="161"/>
        <v>0</v>
      </c>
      <c r="R98" s="144">
        <f t="shared" si="162"/>
        <v>0</v>
      </c>
      <c r="S98" s="144">
        <f t="shared" si="163"/>
        <v>0</v>
      </c>
      <c r="T98" s="144">
        <f t="shared" si="164"/>
        <v>0</v>
      </c>
      <c r="U98" s="144">
        <f t="shared" si="165"/>
        <v>0</v>
      </c>
      <c r="V98" s="338">
        <f t="shared" si="166"/>
        <v>0</v>
      </c>
      <c r="W98" s="338">
        <f t="shared" si="167"/>
        <v>0</v>
      </c>
      <c r="X98" s="338">
        <f t="shared" si="168"/>
        <v>0</v>
      </c>
      <c r="Y98" s="338">
        <f t="shared" si="169"/>
        <v>0</v>
      </c>
      <c r="Z98" s="338">
        <f t="shared" si="170"/>
        <v>0</v>
      </c>
      <c r="AA98" s="176">
        <v>3</v>
      </c>
      <c r="AB98" s="176">
        <v>11</v>
      </c>
      <c r="AC98" s="177">
        <v>1</v>
      </c>
      <c r="AD98" s="238">
        <f t="shared" si="171"/>
        <v>0</v>
      </c>
      <c r="AE98" s="238">
        <f t="shared" si="172"/>
        <v>0</v>
      </c>
      <c r="AF98" s="238">
        <f t="shared" si="173"/>
        <v>0</v>
      </c>
      <c r="AG98" s="232">
        <f>M98*VLOOKUP($AA98,'SKOR PPH'!$B$13:$D$21,3,FALSE)</f>
        <v>0</v>
      </c>
      <c r="AH98" s="232">
        <f>N98*VLOOKUP($AA98,'SKOR PPH'!$B$13:$D$21,3,FALSE)</f>
        <v>0</v>
      </c>
      <c r="AI98" s="232">
        <f>O98*VLOOKUP($AA98,'SKOR PPH'!$B$13:$D$21,3,FALSE)</f>
        <v>0</v>
      </c>
      <c r="AJ98" s="232">
        <f>P98*VLOOKUP($AA98,'SKOR PPH'!$B$13:$D$21,3,FALSE)</f>
        <v>0</v>
      </c>
      <c r="AK98" s="232">
        <f>$AD98*VLOOKUP($AA98,'SKOR PPH'!$B$13:$D$21,3,FALSE)</f>
        <v>0</v>
      </c>
      <c r="AL98" s="232">
        <f>R98*VLOOKUP($AA98,'SKOR PPH'!$B$13:$D$21,3,FALSE)</f>
        <v>0</v>
      </c>
      <c r="AM98" s="232">
        <f>S98*VLOOKUP($AA98,'SKOR PPH'!$B$13:$D$21,3,FALSE)</f>
        <v>0</v>
      </c>
      <c r="AN98" s="232">
        <f>T98*VLOOKUP($AA98,'SKOR PPH'!$B$13:$D$21,3,FALSE)</f>
        <v>0</v>
      </c>
      <c r="AO98" s="232">
        <f>U98*VLOOKUP($AA98,'SKOR PPH'!$B$13:$D$21,3,FALSE)</f>
        <v>0</v>
      </c>
      <c r="AP98" s="232">
        <f>$AE98*VLOOKUP($AA98,'SKOR PPH'!$B$13:$D$21,3,FALSE)</f>
        <v>0</v>
      </c>
      <c r="AQ98" s="232">
        <f>W98*VLOOKUP($AA98,'SKOR PPH'!$B$13:$D$21,3,FALSE)</f>
        <v>0</v>
      </c>
      <c r="AR98" s="232">
        <f>X98*VLOOKUP($AA98,'SKOR PPH'!$B$13:$D$21,3,FALSE)</f>
        <v>0</v>
      </c>
      <c r="AS98" s="232">
        <f>Y98*VLOOKUP($AA98,'SKOR PPH'!$B$13:$D$21,3,FALSE)</f>
        <v>0</v>
      </c>
      <c r="AT98" s="232">
        <f>Z98*VLOOKUP($AA98,'SKOR PPH'!$B$13:$D$21,3,FALSE)</f>
        <v>0</v>
      </c>
      <c r="AU98" s="232">
        <f>$AF98*VLOOKUP($AA98,'SKOR PPH'!$B$13:$D$21,3,FALSE)</f>
        <v>0</v>
      </c>
    </row>
    <row r="99" spans="2:47" ht="15" customHeight="1" x14ac:dyDescent="0.2">
      <c r="B99" s="199" t="s">
        <v>309</v>
      </c>
      <c r="C99" s="212">
        <v>71</v>
      </c>
      <c r="D99" s="149">
        <v>114.9</v>
      </c>
      <c r="E99" s="243">
        <v>8.01</v>
      </c>
      <c r="F99" s="149">
        <v>8.01</v>
      </c>
      <c r="G99" s="261">
        <v>0.8</v>
      </c>
      <c r="H99" s="208" t="s">
        <v>60</v>
      </c>
      <c r="I99" s="311">
        <v>0</v>
      </c>
      <c r="J99" s="311">
        <v>0</v>
      </c>
      <c r="K99" s="311">
        <v>0</v>
      </c>
      <c r="L99" s="144">
        <f t="shared" si="156"/>
        <v>0</v>
      </c>
      <c r="M99" s="144">
        <f t="shared" si="157"/>
        <v>0</v>
      </c>
      <c r="N99" s="144">
        <f t="shared" si="158"/>
        <v>0</v>
      </c>
      <c r="O99" s="144">
        <f t="shared" si="159"/>
        <v>0</v>
      </c>
      <c r="P99" s="144">
        <f t="shared" si="160"/>
        <v>0</v>
      </c>
      <c r="Q99" s="144">
        <f t="shared" si="161"/>
        <v>0</v>
      </c>
      <c r="R99" s="144">
        <f t="shared" si="162"/>
        <v>0</v>
      </c>
      <c r="S99" s="144">
        <f t="shared" si="163"/>
        <v>0</v>
      </c>
      <c r="T99" s="144">
        <f t="shared" si="164"/>
        <v>0</v>
      </c>
      <c r="U99" s="144">
        <f t="shared" si="165"/>
        <v>0</v>
      </c>
      <c r="V99" s="338">
        <f t="shared" si="166"/>
        <v>0</v>
      </c>
      <c r="W99" s="338">
        <f t="shared" si="167"/>
        <v>0</v>
      </c>
      <c r="X99" s="338">
        <f t="shared" si="168"/>
        <v>0</v>
      </c>
      <c r="Y99" s="338">
        <f t="shared" si="169"/>
        <v>0</v>
      </c>
      <c r="Z99" s="338">
        <f t="shared" si="170"/>
        <v>0</v>
      </c>
      <c r="AA99" s="176">
        <v>3</v>
      </c>
      <c r="AB99" s="176">
        <v>11</v>
      </c>
      <c r="AC99" s="177">
        <v>1</v>
      </c>
      <c r="AD99" s="238">
        <f t="shared" si="171"/>
        <v>0</v>
      </c>
      <c r="AE99" s="238">
        <f t="shared" si="172"/>
        <v>0</v>
      </c>
      <c r="AF99" s="238">
        <f t="shared" si="173"/>
        <v>0</v>
      </c>
      <c r="AG99" s="232">
        <f>M99*VLOOKUP($AA99,'SKOR PPH'!$B$13:$D$21,3,FALSE)</f>
        <v>0</v>
      </c>
      <c r="AH99" s="232">
        <f>N99*VLOOKUP($AA99,'SKOR PPH'!$B$13:$D$21,3,FALSE)</f>
        <v>0</v>
      </c>
      <c r="AI99" s="232">
        <f>O99*VLOOKUP($AA99,'SKOR PPH'!$B$13:$D$21,3,FALSE)</f>
        <v>0</v>
      </c>
      <c r="AJ99" s="232">
        <f>P99*VLOOKUP($AA99,'SKOR PPH'!$B$13:$D$21,3,FALSE)</f>
        <v>0</v>
      </c>
      <c r="AK99" s="232">
        <f>$AD99*VLOOKUP($AA99,'SKOR PPH'!$B$13:$D$21,3,FALSE)</f>
        <v>0</v>
      </c>
      <c r="AL99" s="232">
        <f>R99*VLOOKUP($AA99,'SKOR PPH'!$B$13:$D$21,3,FALSE)</f>
        <v>0</v>
      </c>
      <c r="AM99" s="232">
        <f>S99*VLOOKUP($AA99,'SKOR PPH'!$B$13:$D$21,3,FALSE)</f>
        <v>0</v>
      </c>
      <c r="AN99" s="232">
        <f>T99*VLOOKUP($AA99,'SKOR PPH'!$B$13:$D$21,3,FALSE)</f>
        <v>0</v>
      </c>
      <c r="AO99" s="232">
        <f>U99*VLOOKUP($AA99,'SKOR PPH'!$B$13:$D$21,3,FALSE)</f>
        <v>0</v>
      </c>
      <c r="AP99" s="232">
        <f>$AE99*VLOOKUP($AA99,'SKOR PPH'!$B$13:$D$21,3,FALSE)</f>
        <v>0</v>
      </c>
      <c r="AQ99" s="232">
        <f>W99*VLOOKUP($AA99,'SKOR PPH'!$B$13:$D$21,3,FALSE)</f>
        <v>0</v>
      </c>
      <c r="AR99" s="232">
        <f>X99*VLOOKUP($AA99,'SKOR PPH'!$B$13:$D$21,3,FALSE)</f>
        <v>0</v>
      </c>
      <c r="AS99" s="232">
        <f>Y99*VLOOKUP($AA99,'SKOR PPH'!$B$13:$D$21,3,FALSE)</f>
        <v>0</v>
      </c>
      <c r="AT99" s="232">
        <f>Z99*VLOOKUP($AA99,'SKOR PPH'!$B$13:$D$21,3,FALSE)</f>
        <v>0</v>
      </c>
      <c r="AU99" s="232">
        <f>$AF99*VLOOKUP($AA99,'SKOR PPH'!$B$13:$D$21,3,FALSE)</f>
        <v>0</v>
      </c>
    </row>
    <row r="100" spans="2:47" ht="15" customHeight="1" x14ac:dyDescent="0.2">
      <c r="B100" s="199" t="s">
        <v>310</v>
      </c>
      <c r="C100" s="212">
        <v>800</v>
      </c>
      <c r="D100" s="149">
        <v>488</v>
      </c>
      <c r="E100" s="243">
        <v>25.6</v>
      </c>
      <c r="F100" s="149">
        <v>28</v>
      </c>
      <c r="G100" s="261">
        <v>34.4</v>
      </c>
      <c r="H100" s="208" t="s">
        <v>61</v>
      </c>
      <c r="I100" s="311">
        <v>0</v>
      </c>
      <c r="J100" s="311">
        <v>0</v>
      </c>
      <c r="K100" s="311">
        <v>0</v>
      </c>
      <c r="L100" s="144">
        <f t="shared" si="156"/>
        <v>0</v>
      </c>
      <c r="M100" s="144">
        <f t="shared" si="157"/>
        <v>0</v>
      </c>
      <c r="N100" s="144">
        <f t="shared" si="158"/>
        <v>0</v>
      </c>
      <c r="O100" s="144">
        <f t="shared" si="159"/>
        <v>0</v>
      </c>
      <c r="P100" s="144">
        <f t="shared" si="160"/>
        <v>0</v>
      </c>
      <c r="Q100" s="144">
        <f t="shared" si="161"/>
        <v>0</v>
      </c>
      <c r="R100" s="144">
        <f t="shared" si="162"/>
        <v>0</v>
      </c>
      <c r="S100" s="144">
        <f t="shared" si="163"/>
        <v>0</v>
      </c>
      <c r="T100" s="144">
        <f t="shared" si="164"/>
        <v>0</v>
      </c>
      <c r="U100" s="144">
        <f t="shared" si="165"/>
        <v>0</v>
      </c>
      <c r="V100" s="338">
        <f t="shared" si="166"/>
        <v>0</v>
      </c>
      <c r="W100" s="338">
        <f t="shared" si="167"/>
        <v>0</v>
      </c>
      <c r="X100" s="338">
        <f t="shared" si="168"/>
        <v>0</v>
      </c>
      <c r="Y100" s="338">
        <f t="shared" si="169"/>
        <v>0</v>
      </c>
      <c r="Z100" s="338">
        <f t="shared" si="170"/>
        <v>0</v>
      </c>
      <c r="AA100" s="176">
        <v>3</v>
      </c>
      <c r="AB100" s="176">
        <v>12</v>
      </c>
      <c r="AC100" s="177">
        <v>0.4</v>
      </c>
      <c r="AD100" s="238">
        <f t="shared" si="171"/>
        <v>0</v>
      </c>
      <c r="AE100" s="238">
        <f t="shared" si="172"/>
        <v>0</v>
      </c>
      <c r="AF100" s="238">
        <f t="shared" si="173"/>
        <v>0</v>
      </c>
      <c r="AG100" s="232">
        <f>M100*VLOOKUP($AA100,'SKOR PPH'!$B$13:$D$21,3,FALSE)</f>
        <v>0</v>
      </c>
      <c r="AH100" s="232">
        <f>N100*VLOOKUP($AA100,'SKOR PPH'!$B$13:$D$21,3,FALSE)</f>
        <v>0</v>
      </c>
      <c r="AI100" s="232">
        <f>O100*VLOOKUP($AA100,'SKOR PPH'!$B$13:$D$21,3,FALSE)</f>
        <v>0</v>
      </c>
      <c r="AJ100" s="232">
        <f>P100*VLOOKUP($AA100,'SKOR PPH'!$B$13:$D$21,3,FALSE)</f>
        <v>0</v>
      </c>
      <c r="AK100" s="232">
        <f>$AD100*VLOOKUP($AA100,'SKOR PPH'!$B$13:$D$21,3,FALSE)</f>
        <v>0</v>
      </c>
      <c r="AL100" s="232">
        <f>R100*VLOOKUP($AA100,'SKOR PPH'!$B$13:$D$21,3,FALSE)</f>
        <v>0</v>
      </c>
      <c r="AM100" s="232">
        <f>S100*VLOOKUP($AA100,'SKOR PPH'!$B$13:$D$21,3,FALSE)</f>
        <v>0</v>
      </c>
      <c r="AN100" s="232">
        <f>T100*VLOOKUP($AA100,'SKOR PPH'!$B$13:$D$21,3,FALSE)</f>
        <v>0</v>
      </c>
      <c r="AO100" s="232">
        <f>U100*VLOOKUP($AA100,'SKOR PPH'!$B$13:$D$21,3,FALSE)</f>
        <v>0</v>
      </c>
      <c r="AP100" s="232">
        <f>$AE100*VLOOKUP($AA100,'SKOR PPH'!$B$13:$D$21,3,FALSE)</f>
        <v>0</v>
      </c>
      <c r="AQ100" s="232">
        <f>W100*VLOOKUP($AA100,'SKOR PPH'!$B$13:$D$21,3,FALSE)</f>
        <v>0</v>
      </c>
      <c r="AR100" s="232">
        <f>X100*VLOOKUP($AA100,'SKOR PPH'!$B$13:$D$21,3,FALSE)</f>
        <v>0</v>
      </c>
      <c r="AS100" s="232">
        <f>Y100*VLOOKUP($AA100,'SKOR PPH'!$B$13:$D$21,3,FALSE)</f>
        <v>0</v>
      </c>
      <c r="AT100" s="232">
        <f>Z100*VLOOKUP($AA100,'SKOR PPH'!$B$13:$D$21,3,FALSE)</f>
        <v>0</v>
      </c>
      <c r="AU100" s="232">
        <f>$AF100*VLOOKUP($AA100,'SKOR PPH'!$B$13:$D$21,3,FALSE)</f>
        <v>0</v>
      </c>
    </row>
    <row r="101" spans="2:47" ht="15" customHeight="1" x14ac:dyDescent="0.2">
      <c r="B101" s="199" t="s">
        <v>311</v>
      </c>
      <c r="C101" s="212">
        <v>200</v>
      </c>
      <c r="D101" s="149">
        <v>122</v>
      </c>
      <c r="E101" s="243">
        <v>6.4</v>
      </c>
      <c r="F101" s="149">
        <v>7</v>
      </c>
      <c r="G101" s="261">
        <v>8.6</v>
      </c>
      <c r="H101" s="208" t="s">
        <v>62</v>
      </c>
      <c r="I101" s="311">
        <v>3.3971946390898007E-3</v>
      </c>
      <c r="J101" s="311">
        <v>3.8805912757782824E-4</v>
      </c>
      <c r="K101" s="311">
        <v>3.7852537666676288E-3</v>
      </c>
      <c r="L101" s="144">
        <f t="shared" si="156"/>
        <v>9.7062703973994302E-2</v>
      </c>
      <c r="M101" s="144">
        <f t="shared" si="157"/>
        <v>5.9208249424136529E-2</v>
      </c>
      <c r="N101" s="144">
        <f t="shared" si="158"/>
        <v>3.1060065271678178E-3</v>
      </c>
      <c r="O101" s="144">
        <f t="shared" si="159"/>
        <v>3.3971946390898007E-3</v>
      </c>
      <c r="P101" s="144">
        <f t="shared" si="160"/>
        <v>4.1736962708817547E-3</v>
      </c>
      <c r="Q101" s="144">
        <f t="shared" si="161"/>
        <v>1.1087403645080807E-2</v>
      </c>
      <c r="R101" s="144">
        <f t="shared" si="162"/>
        <v>6.7633162234992921E-3</v>
      </c>
      <c r="S101" s="144">
        <f t="shared" si="163"/>
        <v>3.5479691664258583E-4</v>
      </c>
      <c r="T101" s="144">
        <f t="shared" si="164"/>
        <v>3.8805912757782824E-4</v>
      </c>
      <c r="U101" s="144">
        <f t="shared" si="165"/>
        <v>4.7675835673847468E-4</v>
      </c>
      <c r="V101" s="338">
        <f t="shared" si="166"/>
        <v>0.10815010761907511</v>
      </c>
      <c r="W101" s="338">
        <f t="shared" si="167"/>
        <v>6.5971565647635816E-2</v>
      </c>
      <c r="X101" s="338">
        <f t="shared" si="168"/>
        <v>3.4608034438104035E-3</v>
      </c>
      <c r="Y101" s="338">
        <f t="shared" si="169"/>
        <v>3.7852537666676288E-3</v>
      </c>
      <c r="Z101" s="338">
        <f t="shared" si="170"/>
        <v>4.6504546276202301E-3</v>
      </c>
      <c r="AA101" s="176">
        <v>3</v>
      </c>
      <c r="AB101" s="176">
        <v>12</v>
      </c>
      <c r="AC101" s="177">
        <v>0.4</v>
      </c>
      <c r="AD101" s="238">
        <f t="shared" si="171"/>
        <v>3.8825081589597722E-2</v>
      </c>
      <c r="AE101" s="238">
        <f t="shared" si="172"/>
        <v>4.4349614580323233E-3</v>
      </c>
      <c r="AF101" s="238">
        <f t="shared" si="173"/>
        <v>4.3260043047630044E-2</v>
      </c>
      <c r="AG101" s="232">
        <f>M101*VLOOKUP($AA101,'SKOR PPH'!$B$13:$D$21,3,FALSE)</f>
        <v>6.4146217426109514E-2</v>
      </c>
      <c r="AH101" s="232">
        <f>N101*VLOOKUP($AA101,'SKOR PPH'!$B$13:$D$21,3,FALSE)</f>
        <v>3.3650474715336137E-3</v>
      </c>
      <c r="AI101" s="232">
        <f>O101*VLOOKUP($AA101,'SKOR PPH'!$B$13:$D$21,3,FALSE)</f>
        <v>3.68052067198989E-3</v>
      </c>
      <c r="AJ101" s="232">
        <f>P101*VLOOKUP($AA101,'SKOR PPH'!$B$13:$D$21,3,FALSE)</f>
        <v>4.521782539873293E-3</v>
      </c>
      <c r="AK101" s="232">
        <f>$AD101*VLOOKUP($AA101,'SKOR PPH'!$B$13:$D$21,3,FALSE)</f>
        <v>4.2063093394170172E-2</v>
      </c>
      <c r="AL101" s="232">
        <f>R101*VLOOKUP($AA101,'SKOR PPH'!$B$13:$D$21,3,FALSE)</f>
        <v>7.3273767965391324E-3</v>
      </c>
      <c r="AM101" s="232">
        <f>S101*VLOOKUP($AA101,'SKOR PPH'!$B$13:$D$21,3,FALSE)</f>
        <v>3.8438697949057748E-4</v>
      </c>
      <c r="AN101" s="232">
        <f>T101*VLOOKUP($AA101,'SKOR PPH'!$B$13:$D$21,3,FALSE)</f>
        <v>4.2042325881781907E-4</v>
      </c>
      <c r="AO101" s="232">
        <f>U101*VLOOKUP($AA101,'SKOR PPH'!$B$13:$D$21,3,FALSE)</f>
        <v>5.1652000369046343E-4</v>
      </c>
      <c r="AP101" s="232">
        <f>$AE101*VLOOKUP($AA101,'SKOR PPH'!$B$13:$D$21,3,FALSE)</f>
        <v>4.8048372436322187E-3</v>
      </c>
      <c r="AQ101" s="232">
        <f>W101*VLOOKUP($AA101,'SKOR PPH'!$B$13:$D$21,3,FALSE)</f>
        <v>7.1473594222648637E-2</v>
      </c>
      <c r="AR101" s="232">
        <f>X101*VLOOKUP($AA101,'SKOR PPH'!$B$13:$D$21,3,FALSE)</f>
        <v>3.7494344510241909E-3</v>
      </c>
      <c r="AS101" s="232">
        <f>Y101*VLOOKUP($AA101,'SKOR PPH'!$B$13:$D$21,3,FALSE)</f>
        <v>4.1009439308077088E-3</v>
      </c>
      <c r="AT101" s="232">
        <f>Z101*VLOOKUP($AA101,'SKOR PPH'!$B$13:$D$21,3,FALSE)</f>
        <v>5.0383025435637571E-3</v>
      </c>
      <c r="AU101" s="232">
        <f>$AF101*VLOOKUP($AA101,'SKOR PPH'!$B$13:$D$21,3,FALSE)</f>
        <v>4.6867930637802382E-2</v>
      </c>
    </row>
    <row r="102" spans="2:47" ht="15" customHeight="1" x14ac:dyDescent="0.2">
      <c r="B102" s="199" t="s">
        <v>312</v>
      </c>
      <c r="C102" s="212">
        <v>397</v>
      </c>
      <c r="D102" s="149">
        <v>1333.9</v>
      </c>
      <c r="E102" s="243">
        <v>32.549999999999997</v>
      </c>
      <c r="F102" s="149">
        <v>39.700000000000003</v>
      </c>
      <c r="G102" s="261">
        <v>218.35</v>
      </c>
      <c r="H102" s="208" t="s">
        <v>63</v>
      </c>
      <c r="I102" s="311">
        <v>5.4292779396729832E-3</v>
      </c>
      <c r="J102" s="311">
        <v>2.5025092450977695E-2</v>
      </c>
      <c r="K102" s="311">
        <v>3.045437039065068E-2</v>
      </c>
      <c r="L102" s="144">
        <f t="shared" si="156"/>
        <v>0.30791762029288205</v>
      </c>
      <c r="M102" s="144">
        <f t="shared" si="157"/>
        <v>1.034587691961399</v>
      </c>
      <c r="N102" s="144">
        <f t="shared" si="158"/>
        <v>2.5246142419479371E-2</v>
      </c>
      <c r="O102" s="144">
        <f t="shared" si="159"/>
        <v>3.0791762029288208E-2</v>
      </c>
      <c r="P102" s="144">
        <f t="shared" si="160"/>
        <v>0.16935469116108512</v>
      </c>
      <c r="Q102" s="144">
        <f t="shared" si="161"/>
        <v>1.4192802432911635</v>
      </c>
      <c r="R102" s="144">
        <f t="shared" si="162"/>
        <v>4.768710117194165</v>
      </c>
      <c r="S102" s="144">
        <f t="shared" si="163"/>
        <v>0.11636667989704627</v>
      </c>
      <c r="T102" s="144">
        <f t="shared" si="164"/>
        <v>0.14192802432911636</v>
      </c>
      <c r="U102" s="144">
        <f t="shared" si="165"/>
        <v>0.78060413381013993</v>
      </c>
      <c r="V102" s="338">
        <f t="shared" si="166"/>
        <v>1.7271978635840457</v>
      </c>
      <c r="W102" s="338">
        <f t="shared" si="167"/>
        <v>5.8032978091555636</v>
      </c>
      <c r="X102" s="338">
        <f t="shared" si="168"/>
        <v>0.14161282231652564</v>
      </c>
      <c r="Y102" s="338">
        <f t="shared" si="169"/>
        <v>0.1727197863584046</v>
      </c>
      <c r="Z102" s="338">
        <f t="shared" si="170"/>
        <v>0.94995882497122508</v>
      </c>
      <c r="AA102" s="176">
        <v>3</v>
      </c>
      <c r="AB102" s="176">
        <v>12</v>
      </c>
      <c r="AC102" s="177">
        <v>0.5</v>
      </c>
      <c r="AD102" s="238">
        <f t="shared" si="171"/>
        <v>0.15395881014644103</v>
      </c>
      <c r="AE102" s="238">
        <f t="shared" si="172"/>
        <v>0.70964012164558177</v>
      </c>
      <c r="AF102" s="238">
        <f t="shared" si="173"/>
        <v>0.86359893179202285</v>
      </c>
      <c r="AG102" s="232">
        <f>M102*VLOOKUP($AA102,'SKOR PPH'!$B$13:$D$21,3,FALSE)</f>
        <v>1.1208723054709795</v>
      </c>
      <c r="AH102" s="232">
        <f>N102*VLOOKUP($AA102,'SKOR PPH'!$B$13:$D$21,3,FALSE)</f>
        <v>2.735167069726395E-2</v>
      </c>
      <c r="AI102" s="232">
        <f>O102*VLOOKUP($AA102,'SKOR PPH'!$B$13:$D$21,3,FALSE)</f>
        <v>3.335979498253084E-2</v>
      </c>
      <c r="AJ102" s="232">
        <f>P102*VLOOKUP($AA102,'SKOR PPH'!$B$13:$D$21,3,FALSE)</f>
        <v>0.18347887240391961</v>
      </c>
      <c r="AK102" s="232">
        <f>$AD102*VLOOKUP($AA102,'SKOR PPH'!$B$13:$D$21,3,FALSE)</f>
        <v>0.16679897491265419</v>
      </c>
      <c r="AL102" s="232">
        <f>R102*VLOOKUP($AA102,'SKOR PPH'!$B$13:$D$21,3,FALSE)</f>
        <v>5.1664205409681578</v>
      </c>
      <c r="AM102" s="232">
        <f>S102*VLOOKUP($AA102,'SKOR PPH'!$B$13:$D$21,3,FALSE)</f>
        <v>0.12607166100045991</v>
      </c>
      <c r="AN102" s="232">
        <f>T102*VLOOKUP($AA102,'SKOR PPH'!$B$13:$D$21,3,FALSE)</f>
        <v>0.15376482155816465</v>
      </c>
      <c r="AO102" s="232">
        <f>U102*VLOOKUP($AA102,'SKOR PPH'!$B$13:$D$21,3,FALSE)</f>
        <v>0.84570651856990553</v>
      </c>
      <c r="AP102" s="232">
        <f>$AE102*VLOOKUP($AA102,'SKOR PPH'!$B$13:$D$21,3,FALSE)</f>
        <v>0.76882410779082322</v>
      </c>
      <c r="AQ102" s="232">
        <f>W102*VLOOKUP($AA102,'SKOR PPH'!$B$13:$D$21,3,FALSE)</f>
        <v>6.2872928464391373</v>
      </c>
      <c r="AR102" s="232">
        <f>X102*VLOOKUP($AA102,'SKOR PPH'!$B$13:$D$21,3,FALSE)</f>
        <v>0.15342333169772387</v>
      </c>
      <c r="AS102" s="232">
        <f>Y102*VLOOKUP($AA102,'SKOR PPH'!$B$13:$D$21,3,FALSE)</f>
        <v>0.18712461654069554</v>
      </c>
      <c r="AT102" s="232">
        <f>Z102*VLOOKUP($AA102,'SKOR PPH'!$B$13:$D$21,3,FALSE)</f>
        <v>1.0291853909738251</v>
      </c>
      <c r="AU102" s="232">
        <f>$AF102*VLOOKUP($AA102,'SKOR PPH'!$B$13:$D$21,3,FALSE)</f>
        <v>0.93562308270347749</v>
      </c>
    </row>
    <row r="103" spans="2:47" ht="15" customHeight="1" x14ac:dyDescent="0.2">
      <c r="B103" s="199" t="s">
        <v>313</v>
      </c>
      <c r="C103" s="212">
        <v>1000</v>
      </c>
      <c r="D103" s="149">
        <v>5090</v>
      </c>
      <c r="E103" s="243">
        <v>246</v>
      </c>
      <c r="F103" s="149">
        <v>300</v>
      </c>
      <c r="G103" s="261">
        <v>362</v>
      </c>
      <c r="H103" s="208" t="s">
        <v>200</v>
      </c>
      <c r="I103" s="311">
        <v>2.622101641945256E-3</v>
      </c>
      <c r="J103" s="311">
        <v>5.3706118705250253E-3</v>
      </c>
      <c r="K103" s="311">
        <v>7.99271351247028E-3</v>
      </c>
      <c r="L103" s="144">
        <f t="shared" si="156"/>
        <v>0.37458594884932228</v>
      </c>
      <c r="M103" s="144">
        <f t="shared" si="157"/>
        <v>1.9066424796430503</v>
      </c>
      <c r="N103" s="144">
        <f t="shared" si="158"/>
        <v>9.2148143416933295E-2</v>
      </c>
      <c r="O103" s="144">
        <f t="shared" si="159"/>
        <v>0.11237578465479668</v>
      </c>
      <c r="P103" s="144">
        <f t="shared" si="160"/>
        <v>0.13560011348345466</v>
      </c>
      <c r="Q103" s="144">
        <f t="shared" si="161"/>
        <v>0.76723026721786081</v>
      </c>
      <c r="R103" s="144">
        <f t="shared" si="162"/>
        <v>3.9052020601389112</v>
      </c>
      <c r="S103" s="144">
        <f t="shared" si="163"/>
        <v>0.18873864573559374</v>
      </c>
      <c r="T103" s="144">
        <f t="shared" si="164"/>
        <v>0.23016908016535823</v>
      </c>
      <c r="U103" s="144">
        <f t="shared" si="165"/>
        <v>0.27773735673286559</v>
      </c>
      <c r="V103" s="338">
        <f t="shared" si="166"/>
        <v>1.1418162160671828</v>
      </c>
      <c r="W103" s="338">
        <f t="shared" si="167"/>
        <v>5.8118445397819603</v>
      </c>
      <c r="X103" s="338">
        <f t="shared" si="168"/>
        <v>0.28088678915252696</v>
      </c>
      <c r="Y103" s="338">
        <f t="shared" si="169"/>
        <v>0.34254486482015484</v>
      </c>
      <c r="Z103" s="338">
        <f t="shared" si="170"/>
        <v>0.41333747021632022</v>
      </c>
      <c r="AA103" s="176">
        <v>3</v>
      </c>
      <c r="AB103" s="176">
        <v>12</v>
      </c>
      <c r="AC103" s="177">
        <v>1</v>
      </c>
      <c r="AD103" s="238">
        <f t="shared" si="171"/>
        <v>0.37458594884932228</v>
      </c>
      <c r="AE103" s="238">
        <f t="shared" si="172"/>
        <v>0.76723026721786081</v>
      </c>
      <c r="AF103" s="238">
        <f t="shared" si="173"/>
        <v>1.1418162160671828</v>
      </c>
      <c r="AG103" s="232">
        <f>M103*VLOOKUP($AA103,'SKOR PPH'!$B$13:$D$21,3,FALSE)</f>
        <v>2.0656564624452805</v>
      </c>
      <c r="AH103" s="232">
        <f>N103*VLOOKUP($AA103,'SKOR PPH'!$B$13:$D$21,3,FALSE)</f>
        <v>9.983329857790553E-2</v>
      </c>
      <c r="AI103" s="232">
        <f>O103*VLOOKUP($AA103,'SKOR PPH'!$B$13:$D$21,3,FALSE)</f>
        <v>0.12174792509500672</v>
      </c>
      <c r="AJ103" s="232">
        <f>P103*VLOOKUP($AA103,'SKOR PPH'!$B$13:$D$21,3,FALSE)</f>
        <v>0.14690916294797476</v>
      </c>
      <c r="AK103" s="232">
        <f>$AD103*VLOOKUP($AA103,'SKOR PPH'!$B$13:$D$21,3,FALSE)</f>
        <v>0.40582641698335575</v>
      </c>
      <c r="AL103" s="232">
        <f>R103*VLOOKUP($AA103,'SKOR PPH'!$B$13:$D$21,3,FALSE)</f>
        <v>4.2308959119544962</v>
      </c>
      <c r="AM103" s="232">
        <f>S103*VLOOKUP($AA103,'SKOR PPH'!$B$13:$D$21,3,FALSE)</f>
        <v>0.20447944878994223</v>
      </c>
      <c r="AN103" s="232">
        <f>T103*VLOOKUP($AA103,'SKOR PPH'!$B$13:$D$21,3,FALSE)</f>
        <v>0.24936518145114908</v>
      </c>
      <c r="AO103" s="232">
        <f>U103*VLOOKUP($AA103,'SKOR PPH'!$B$13:$D$21,3,FALSE)</f>
        <v>0.30090065228438656</v>
      </c>
      <c r="AP103" s="232">
        <f>$AE103*VLOOKUP($AA103,'SKOR PPH'!$B$13:$D$21,3,FALSE)</f>
        <v>0.83121727150383029</v>
      </c>
      <c r="AQ103" s="232">
        <f>W103*VLOOKUP($AA103,'SKOR PPH'!$B$13:$D$21,3,FALSE)</f>
        <v>6.2965523743997753</v>
      </c>
      <c r="AR103" s="232">
        <f>X103*VLOOKUP($AA103,'SKOR PPH'!$B$13:$D$21,3,FALSE)</f>
        <v>0.30431274736784769</v>
      </c>
      <c r="AS103" s="232">
        <f>Y103*VLOOKUP($AA103,'SKOR PPH'!$B$13:$D$21,3,FALSE)</f>
        <v>0.3711131065461557</v>
      </c>
      <c r="AT103" s="232">
        <f>Z103*VLOOKUP($AA103,'SKOR PPH'!$B$13:$D$21,3,FALSE)</f>
        <v>0.4478098152323613</v>
      </c>
      <c r="AU103" s="232">
        <f>$AF103*VLOOKUP($AA103,'SKOR PPH'!$B$13:$D$21,3,FALSE)</f>
        <v>1.2370436884871856</v>
      </c>
    </row>
    <row r="104" spans="2:47" ht="15" customHeight="1" x14ac:dyDescent="0.2">
      <c r="B104" s="199" t="s">
        <v>314</v>
      </c>
      <c r="C104" s="212">
        <v>400</v>
      </c>
      <c r="D104" s="149">
        <v>1672</v>
      </c>
      <c r="E104" s="243">
        <v>76</v>
      </c>
      <c r="F104" s="149">
        <v>36</v>
      </c>
      <c r="G104" s="261">
        <v>262</v>
      </c>
      <c r="H104" s="208" t="s">
        <v>64</v>
      </c>
      <c r="I104" s="311">
        <v>4.1230287047336941E-4</v>
      </c>
      <c r="J104" s="311">
        <v>3.9656953912446955E-3</v>
      </c>
      <c r="K104" s="311">
        <v>4.3779982617180658E-3</v>
      </c>
      <c r="L104" s="144">
        <f t="shared" si="156"/>
        <v>2.3560164027049683E-2</v>
      </c>
      <c r="M104" s="144">
        <f t="shared" si="157"/>
        <v>9.8481485633067661E-2</v>
      </c>
      <c r="N104" s="144">
        <f t="shared" si="158"/>
        <v>4.4764311651394389E-3</v>
      </c>
      <c r="O104" s="144">
        <f t="shared" si="159"/>
        <v>2.1204147624344712E-3</v>
      </c>
      <c r="P104" s="144">
        <f t="shared" si="160"/>
        <v>1.5431907437717541E-2</v>
      </c>
      <c r="Q104" s="144">
        <f t="shared" si="161"/>
        <v>0.22661116521398261</v>
      </c>
      <c r="R104" s="144">
        <f t="shared" si="162"/>
        <v>0.94723467059444733</v>
      </c>
      <c r="S104" s="144">
        <f t="shared" si="163"/>
        <v>4.305612139065669E-2</v>
      </c>
      <c r="T104" s="144">
        <f t="shared" si="164"/>
        <v>2.0395004869258434E-2</v>
      </c>
      <c r="U104" s="144">
        <f t="shared" si="165"/>
        <v>0.14843031321515859</v>
      </c>
      <c r="V104" s="338">
        <f t="shared" si="166"/>
        <v>0.2501713292410323</v>
      </c>
      <c r="W104" s="338">
        <f t="shared" si="167"/>
        <v>1.0457161562275152</v>
      </c>
      <c r="X104" s="338">
        <f t="shared" si="168"/>
        <v>4.7532552555796144E-2</v>
      </c>
      <c r="Y104" s="338">
        <f t="shared" si="169"/>
        <v>2.2515419631692908E-2</v>
      </c>
      <c r="Z104" s="338">
        <f t="shared" si="170"/>
        <v>0.16386222065287617</v>
      </c>
      <c r="AA104" s="176">
        <v>3</v>
      </c>
      <c r="AB104" s="176">
        <v>12</v>
      </c>
      <c r="AC104" s="177">
        <v>1</v>
      </c>
      <c r="AD104" s="238">
        <f t="shared" si="171"/>
        <v>2.3560164027049683E-2</v>
      </c>
      <c r="AE104" s="238">
        <f t="shared" si="172"/>
        <v>0.22661116521398261</v>
      </c>
      <c r="AF104" s="238">
        <f t="shared" si="173"/>
        <v>0.2501713292410323</v>
      </c>
      <c r="AG104" s="232">
        <f>M104*VLOOKUP($AA104,'SKOR PPH'!$B$13:$D$21,3,FALSE)</f>
        <v>0.1066948415348655</v>
      </c>
      <c r="AH104" s="232">
        <f>N104*VLOOKUP($AA104,'SKOR PPH'!$B$13:$D$21,3,FALSE)</f>
        <v>4.8497655243120675E-3</v>
      </c>
      <c r="AI104" s="232">
        <f>O104*VLOOKUP($AA104,'SKOR PPH'!$B$13:$D$21,3,FALSE)</f>
        <v>2.2972573536215058E-3</v>
      </c>
      <c r="AJ104" s="232">
        <f>P104*VLOOKUP($AA104,'SKOR PPH'!$B$13:$D$21,3,FALSE)</f>
        <v>1.6718928518023184E-2</v>
      </c>
      <c r="AK104" s="232">
        <f>$AD104*VLOOKUP($AA104,'SKOR PPH'!$B$13:$D$21,3,FALSE)</f>
        <v>2.5525081706905626E-2</v>
      </c>
      <c r="AL104" s="232">
        <f>R104*VLOOKUP($AA104,'SKOR PPH'!$B$13:$D$21,3,FALSE)</f>
        <v>1.0262340421220242</v>
      </c>
      <c r="AM104" s="232">
        <f>S104*VLOOKUP($AA104,'SKOR PPH'!$B$13:$D$21,3,FALSE)</f>
        <v>4.6647001914637456E-2</v>
      </c>
      <c r="AN104" s="232">
        <f>T104*VLOOKUP($AA104,'SKOR PPH'!$B$13:$D$21,3,FALSE)</f>
        <v>2.2095948275354587E-2</v>
      </c>
      <c r="AO104" s="232">
        <f>U104*VLOOKUP($AA104,'SKOR PPH'!$B$13:$D$21,3,FALSE)</f>
        <v>0.16080940133730282</v>
      </c>
      <c r="AP104" s="232">
        <f>$AE104*VLOOKUP($AA104,'SKOR PPH'!$B$13:$D$21,3,FALSE)</f>
        <v>0.24551053639282874</v>
      </c>
      <c r="AQ104" s="232">
        <f>W104*VLOOKUP($AA104,'SKOR PPH'!$B$13:$D$21,3,FALSE)</f>
        <v>1.1329288836568898</v>
      </c>
      <c r="AR104" s="232">
        <f>X104*VLOOKUP($AA104,'SKOR PPH'!$B$13:$D$21,3,FALSE)</f>
        <v>5.1496767438949535E-2</v>
      </c>
      <c r="AS104" s="232">
        <f>Y104*VLOOKUP($AA104,'SKOR PPH'!$B$13:$D$21,3,FALSE)</f>
        <v>2.4393205628976095E-2</v>
      </c>
      <c r="AT104" s="232">
        <f>Z104*VLOOKUP($AA104,'SKOR PPH'!$B$13:$D$21,3,FALSE)</f>
        <v>0.17752832985532604</v>
      </c>
      <c r="AU104" s="232">
        <f>$AF104*VLOOKUP($AA104,'SKOR PPH'!$B$13:$D$21,3,FALSE)</f>
        <v>0.27103561809973437</v>
      </c>
    </row>
    <row r="105" spans="2:47" ht="15" customHeight="1" x14ac:dyDescent="0.2">
      <c r="B105" s="199" t="s">
        <v>315</v>
      </c>
      <c r="C105" s="212">
        <v>100</v>
      </c>
      <c r="D105" s="149">
        <v>326</v>
      </c>
      <c r="E105" s="243">
        <v>22.8</v>
      </c>
      <c r="F105" s="149">
        <v>20.3</v>
      </c>
      <c r="G105" s="261">
        <v>13.1</v>
      </c>
      <c r="H105" s="208" t="s">
        <v>36</v>
      </c>
      <c r="I105" s="311">
        <v>0</v>
      </c>
      <c r="J105" s="311">
        <v>0</v>
      </c>
      <c r="K105" s="311">
        <v>0</v>
      </c>
      <c r="L105" s="144">
        <f t="shared" si="156"/>
        <v>0</v>
      </c>
      <c r="M105" s="144">
        <f t="shared" si="157"/>
        <v>0</v>
      </c>
      <c r="N105" s="144">
        <f t="shared" si="158"/>
        <v>0</v>
      </c>
      <c r="O105" s="144">
        <f t="shared" si="159"/>
        <v>0</v>
      </c>
      <c r="P105" s="144">
        <f t="shared" si="160"/>
        <v>0</v>
      </c>
      <c r="Q105" s="144">
        <f t="shared" si="161"/>
        <v>0</v>
      </c>
      <c r="R105" s="144">
        <f t="shared" si="162"/>
        <v>0</v>
      </c>
      <c r="S105" s="144">
        <f t="shared" si="163"/>
        <v>0</v>
      </c>
      <c r="T105" s="144">
        <f t="shared" si="164"/>
        <v>0</v>
      </c>
      <c r="U105" s="144">
        <f t="shared" si="165"/>
        <v>0</v>
      </c>
      <c r="V105" s="338">
        <f t="shared" si="166"/>
        <v>0</v>
      </c>
      <c r="W105" s="338">
        <f t="shared" si="167"/>
        <v>0</v>
      </c>
      <c r="X105" s="338">
        <f t="shared" si="168"/>
        <v>0</v>
      </c>
      <c r="Y105" s="338">
        <f t="shared" si="169"/>
        <v>0</v>
      </c>
      <c r="Z105" s="338">
        <f t="shared" si="170"/>
        <v>0</v>
      </c>
      <c r="AA105" s="176">
        <v>3</v>
      </c>
      <c r="AB105" s="176">
        <v>12</v>
      </c>
      <c r="AC105" s="177">
        <v>1</v>
      </c>
      <c r="AD105" s="238">
        <f t="shared" si="171"/>
        <v>0</v>
      </c>
      <c r="AE105" s="238">
        <f t="shared" si="172"/>
        <v>0</v>
      </c>
      <c r="AF105" s="238">
        <f t="shared" si="173"/>
        <v>0</v>
      </c>
      <c r="AG105" s="232">
        <f>M105*VLOOKUP($AA105,'SKOR PPH'!$B$13:$D$21,3,FALSE)</f>
        <v>0</v>
      </c>
      <c r="AH105" s="232">
        <f>N105*VLOOKUP($AA105,'SKOR PPH'!$B$13:$D$21,3,FALSE)</f>
        <v>0</v>
      </c>
      <c r="AI105" s="232">
        <f>O105*VLOOKUP($AA105,'SKOR PPH'!$B$13:$D$21,3,FALSE)</f>
        <v>0</v>
      </c>
      <c r="AJ105" s="232">
        <f>P105*VLOOKUP($AA105,'SKOR PPH'!$B$13:$D$21,3,FALSE)</f>
        <v>0</v>
      </c>
      <c r="AK105" s="232">
        <f>$AD105*VLOOKUP($AA105,'SKOR PPH'!$B$13:$D$21,3,FALSE)</f>
        <v>0</v>
      </c>
      <c r="AL105" s="232">
        <f>R105*VLOOKUP($AA105,'SKOR PPH'!$B$13:$D$21,3,FALSE)</f>
        <v>0</v>
      </c>
      <c r="AM105" s="232">
        <f>S105*VLOOKUP($AA105,'SKOR PPH'!$B$13:$D$21,3,FALSE)</f>
        <v>0</v>
      </c>
      <c r="AN105" s="232">
        <f>T105*VLOOKUP($AA105,'SKOR PPH'!$B$13:$D$21,3,FALSE)</f>
        <v>0</v>
      </c>
      <c r="AO105" s="232">
        <f>U105*VLOOKUP($AA105,'SKOR PPH'!$B$13:$D$21,3,FALSE)</f>
        <v>0</v>
      </c>
      <c r="AP105" s="232">
        <f>$AE105*VLOOKUP($AA105,'SKOR PPH'!$B$13:$D$21,3,FALSE)</f>
        <v>0</v>
      </c>
      <c r="AQ105" s="232">
        <f>W105*VLOOKUP($AA105,'SKOR PPH'!$B$13:$D$21,3,FALSE)</f>
        <v>0</v>
      </c>
      <c r="AR105" s="232">
        <f>X105*VLOOKUP($AA105,'SKOR PPH'!$B$13:$D$21,3,FALSE)</f>
        <v>0</v>
      </c>
      <c r="AS105" s="232">
        <f>Y105*VLOOKUP($AA105,'SKOR PPH'!$B$13:$D$21,3,FALSE)</f>
        <v>0</v>
      </c>
      <c r="AT105" s="232">
        <f>Z105*VLOOKUP($AA105,'SKOR PPH'!$B$13:$D$21,3,FALSE)</f>
        <v>0</v>
      </c>
      <c r="AU105" s="232">
        <f>$AF105*VLOOKUP($AA105,'SKOR PPH'!$B$13:$D$21,3,FALSE)</f>
        <v>0</v>
      </c>
    </row>
    <row r="106" spans="2:47" ht="15" customHeight="1" x14ac:dyDescent="0.2">
      <c r="B106" s="199" t="s">
        <v>316</v>
      </c>
      <c r="C106" s="212">
        <v>100</v>
      </c>
      <c r="D106" s="149">
        <v>52</v>
      </c>
      <c r="E106" s="243">
        <v>3.3</v>
      </c>
      <c r="F106" s="149">
        <v>2.5</v>
      </c>
      <c r="G106" s="261">
        <v>4</v>
      </c>
      <c r="H106" s="208" t="s">
        <v>36</v>
      </c>
      <c r="I106" s="311">
        <v>0</v>
      </c>
      <c r="J106" s="311">
        <v>0</v>
      </c>
      <c r="K106" s="311">
        <v>0</v>
      </c>
      <c r="L106" s="144">
        <f t="shared" si="156"/>
        <v>0</v>
      </c>
      <c r="M106" s="144">
        <f t="shared" si="157"/>
        <v>0</v>
      </c>
      <c r="N106" s="144">
        <f t="shared" si="158"/>
        <v>0</v>
      </c>
      <c r="O106" s="144">
        <f t="shared" si="159"/>
        <v>0</v>
      </c>
      <c r="P106" s="144">
        <f t="shared" si="160"/>
        <v>0</v>
      </c>
      <c r="Q106" s="144">
        <f t="shared" si="161"/>
        <v>0</v>
      </c>
      <c r="R106" s="144">
        <f t="shared" si="162"/>
        <v>0</v>
      </c>
      <c r="S106" s="144">
        <f t="shared" si="163"/>
        <v>0</v>
      </c>
      <c r="T106" s="144">
        <f t="shared" si="164"/>
        <v>0</v>
      </c>
      <c r="U106" s="144">
        <f t="shared" si="165"/>
        <v>0</v>
      </c>
      <c r="V106" s="338">
        <f t="shared" si="166"/>
        <v>0</v>
      </c>
      <c r="W106" s="338">
        <f t="shared" si="167"/>
        <v>0</v>
      </c>
      <c r="X106" s="338">
        <f t="shared" si="168"/>
        <v>0</v>
      </c>
      <c r="Y106" s="338">
        <f t="shared" si="169"/>
        <v>0</v>
      </c>
      <c r="Z106" s="338">
        <f t="shared" si="170"/>
        <v>0</v>
      </c>
      <c r="AA106" s="176">
        <v>3</v>
      </c>
      <c r="AB106" s="176">
        <v>12</v>
      </c>
      <c r="AC106" s="177">
        <v>1</v>
      </c>
      <c r="AD106" s="238">
        <f t="shared" si="171"/>
        <v>0</v>
      </c>
      <c r="AE106" s="238">
        <f t="shared" si="172"/>
        <v>0</v>
      </c>
      <c r="AF106" s="238">
        <f t="shared" si="173"/>
        <v>0</v>
      </c>
      <c r="AG106" s="232">
        <f>M106*VLOOKUP($AA106,'SKOR PPH'!$B$13:$D$21,3,FALSE)</f>
        <v>0</v>
      </c>
      <c r="AH106" s="232">
        <f>N106*VLOOKUP($AA106,'SKOR PPH'!$B$13:$D$21,3,FALSE)</f>
        <v>0</v>
      </c>
      <c r="AI106" s="232">
        <f>O106*VLOOKUP($AA106,'SKOR PPH'!$B$13:$D$21,3,FALSE)</f>
        <v>0</v>
      </c>
      <c r="AJ106" s="232">
        <f>P106*VLOOKUP($AA106,'SKOR PPH'!$B$13:$D$21,3,FALSE)</f>
        <v>0</v>
      </c>
      <c r="AK106" s="232">
        <f>$AD106*VLOOKUP($AA106,'SKOR PPH'!$B$13:$D$21,3,FALSE)</f>
        <v>0</v>
      </c>
      <c r="AL106" s="232">
        <f>R106*VLOOKUP($AA106,'SKOR PPH'!$B$13:$D$21,3,FALSE)</f>
        <v>0</v>
      </c>
      <c r="AM106" s="232">
        <f>S106*VLOOKUP($AA106,'SKOR PPH'!$B$13:$D$21,3,FALSE)</f>
        <v>0</v>
      </c>
      <c r="AN106" s="232">
        <f>T106*VLOOKUP($AA106,'SKOR PPH'!$B$13:$D$21,3,FALSE)</f>
        <v>0</v>
      </c>
      <c r="AO106" s="232">
        <f>U106*VLOOKUP($AA106,'SKOR PPH'!$B$13:$D$21,3,FALSE)</f>
        <v>0</v>
      </c>
      <c r="AP106" s="232">
        <f>$AE106*VLOOKUP($AA106,'SKOR PPH'!$B$13:$D$21,3,FALSE)</f>
        <v>0</v>
      </c>
      <c r="AQ106" s="232">
        <f>W106*VLOOKUP($AA106,'SKOR PPH'!$B$13:$D$21,3,FALSE)</f>
        <v>0</v>
      </c>
      <c r="AR106" s="232">
        <f>X106*VLOOKUP($AA106,'SKOR PPH'!$B$13:$D$21,3,FALSE)</f>
        <v>0</v>
      </c>
      <c r="AS106" s="232">
        <f>Y106*VLOOKUP($AA106,'SKOR PPH'!$B$13:$D$21,3,FALSE)</f>
        <v>0</v>
      </c>
      <c r="AT106" s="232">
        <f>Z106*VLOOKUP($AA106,'SKOR PPH'!$B$13:$D$21,3,FALSE)</f>
        <v>0</v>
      </c>
      <c r="AU106" s="232">
        <f>$AF106*VLOOKUP($AA106,'SKOR PPH'!$B$13:$D$21,3,FALSE)</f>
        <v>0</v>
      </c>
    </row>
    <row r="107" spans="2:47" ht="15" customHeight="1" x14ac:dyDescent="0.2">
      <c r="B107" s="211"/>
      <c r="C107" s="187"/>
      <c r="D107" s="188"/>
      <c r="E107" s="248"/>
      <c r="F107" s="188"/>
      <c r="G107" s="188"/>
      <c r="H107" s="267"/>
      <c r="I107" s="314"/>
      <c r="J107" s="314"/>
      <c r="K107" s="314"/>
      <c r="L107" s="127"/>
      <c r="M107" s="182"/>
      <c r="N107" s="127"/>
      <c r="O107" s="189"/>
      <c r="P107" s="189"/>
      <c r="Q107" s="127"/>
      <c r="R107" s="182"/>
      <c r="S107" s="127"/>
      <c r="T107" s="189"/>
      <c r="U107" s="189"/>
      <c r="V107" s="127"/>
      <c r="W107" s="182"/>
      <c r="X107" s="127"/>
      <c r="Y107" s="189"/>
      <c r="Z107" s="189"/>
      <c r="AA107" s="190"/>
      <c r="AB107" s="190"/>
      <c r="AC107" s="191"/>
      <c r="AD107" s="236"/>
      <c r="AE107" s="236"/>
      <c r="AF107" s="236"/>
      <c r="AG107" s="236"/>
      <c r="AH107" s="236"/>
      <c r="AI107" s="236"/>
      <c r="AJ107" s="236"/>
      <c r="AK107" s="236"/>
      <c r="AL107" s="236"/>
      <c r="AM107" s="236"/>
      <c r="AN107" s="236"/>
      <c r="AO107" s="236"/>
      <c r="AP107" s="236"/>
      <c r="AQ107" s="236"/>
      <c r="AR107" s="236"/>
      <c r="AS107" s="236"/>
      <c r="AT107" s="236"/>
      <c r="AU107" s="236"/>
    </row>
    <row r="108" spans="2:47" ht="15" customHeight="1" x14ac:dyDescent="0.2">
      <c r="B108" s="186" t="s">
        <v>65</v>
      </c>
      <c r="C108" s="187"/>
      <c r="D108" s="188"/>
      <c r="E108" s="248"/>
      <c r="F108" s="188"/>
      <c r="G108" s="188"/>
      <c r="H108" s="267"/>
      <c r="I108" s="314"/>
      <c r="J108" s="314"/>
      <c r="K108" s="314"/>
      <c r="L108" s="170"/>
      <c r="M108" s="170"/>
      <c r="N108" s="170"/>
      <c r="O108" s="171"/>
      <c r="P108" s="171"/>
      <c r="Q108" s="170"/>
      <c r="R108" s="170"/>
      <c r="S108" s="170"/>
      <c r="T108" s="171"/>
      <c r="U108" s="171"/>
      <c r="V108" s="170"/>
      <c r="W108" s="170"/>
      <c r="X108" s="170"/>
      <c r="Y108" s="171"/>
      <c r="Z108" s="171"/>
      <c r="AA108" s="190"/>
      <c r="AB108" s="190"/>
      <c r="AC108" s="191"/>
      <c r="AD108" s="236"/>
      <c r="AE108" s="236"/>
      <c r="AF108" s="236"/>
      <c r="AG108" s="236"/>
      <c r="AH108" s="236"/>
      <c r="AI108" s="236"/>
      <c r="AJ108" s="236"/>
      <c r="AK108" s="236"/>
      <c r="AL108" s="236"/>
      <c r="AM108" s="236"/>
      <c r="AN108" s="236"/>
      <c r="AO108" s="236"/>
      <c r="AP108" s="236"/>
      <c r="AQ108" s="236"/>
      <c r="AR108" s="236"/>
      <c r="AS108" s="236"/>
      <c r="AT108" s="236"/>
      <c r="AU108" s="236"/>
    </row>
    <row r="109" spans="2:47" ht="15" customHeight="1" x14ac:dyDescent="0.2">
      <c r="B109" s="199" t="s">
        <v>66</v>
      </c>
      <c r="C109" s="207">
        <v>1000</v>
      </c>
      <c r="D109" s="149">
        <v>113.6</v>
      </c>
      <c r="E109" s="243">
        <v>6.39</v>
      </c>
      <c r="F109" s="149">
        <v>2.84</v>
      </c>
      <c r="G109" s="261">
        <v>20.59</v>
      </c>
      <c r="H109" s="208" t="s">
        <v>200</v>
      </c>
      <c r="I109" s="311">
        <v>3.5493844042362487E-3</v>
      </c>
      <c r="J109" s="311">
        <v>3.7284066618202452E-2</v>
      </c>
      <c r="K109" s="311">
        <v>4.0833451022438669E-2</v>
      </c>
      <c r="L109" s="144">
        <f t="shared" ref="L109:L137" si="174">$I109*C109/7</f>
        <v>0.50705491489089272</v>
      </c>
      <c r="M109" s="144">
        <f t="shared" ref="M109:M137" si="175">$I109*D109/7</f>
        <v>5.7601438331605408E-2</v>
      </c>
      <c r="N109" s="144">
        <f t="shared" ref="N109:N137" si="176">$I109*E109/7</f>
        <v>3.2400809061528041E-3</v>
      </c>
      <c r="O109" s="144">
        <f t="shared" ref="O109:O137" si="177">$I109*F109/7</f>
        <v>1.4400359582901353E-3</v>
      </c>
      <c r="P109" s="144">
        <f t="shared" ref="P109:P137" si="178">$I109*G109/7</f>
        <v>1.044026069760348E-2</v>
      </c>
      <c r="Q109" s="144">
        <f t="shared" ref="Q109:Q137" si="179">$J109*C109/7</f>
        <v>5.3262952311717786</v>
      </c>
      <c r="R109" s="144">
        <f t="shared" ref="R109:R137" si="180">$J109*D109/7</f>
        <v>0.60506713826111402</v>
      </c>
      <c r="S109" s="144">
        <f t="shared" ref="S109:S137" si="181">$J109*E109/7</f>
        <v>3.4035026527187665E-2</v>
      </c>
      <c r="T109" s="144">
        <f t="shared" ref="T109:T137" si="182">$J109*F109/7</f>
        <v>1.5126678456527851E-2</v>
      </c>
      <c r="U109" s="144">
        <f t="shared" ref="U109:U137" si="183">$J109*G109/7</f>
        <v>0.10966841880982693</v>
      </c>
      <c r="V109" s="338">
        <f t="shared" ref="V109:V137" si="184">$K109*C109/7</f>
        <v>5.8333501460626662</v>
      </c>
      <c r="W109" s="338">
        <f t="shared" ref="W109:W137" si="185">$K109*D109/7</f>
        <v>0.66266857659271883</v>
      </c>
      <c r="X109" s="338">
        <f t="shared" ref="X109:X137" si="186">$K109*E109/7</f>
        <v>3.7275107433340442E-2</v>
      </c>
      <c r="Y109" s="338">
        <f t="shared" ref="Y109:Y137" si="187">$K109*F109/7</f>
        <v>1.6566714414817975E-2</v>
      </c>
      <c r="Z109" s="338">
        <f t="shared" ref="Z109:Z137" si="188">$K109*G109/7</f>
        <v>0.12010867950743032</v>
      </c>
      <c r="AA109" s="199">
        <v>8</v>
      </c>
      <c r="AB109" s="176">
        <v>25</v>
      </c>
      <c r="AC109" s="177">
        <v>1</v>
      </c>
      <c r="AD109" s="238">
        <f t="shared" ref="AD109:AD137" si="189">$L109*$AC109</f>
        <v>0.50705491489089272</v>
      </c>
      <c r="AE109" s="238">
        <f t="shared" ref="AE109:AE137" si="190">$Q109*$AC109</f>
        <v>5.3262952311717786</v>
      </c>
      <c r="AF109" s="238">
        <f t="shared" ref="AF109:AF137" si="191">$V109*$AC109</f>
        <v>5.8333501460626662</v>
      </c>
      <c r="AG109" s="238">
        <f>M109*VLOOKUP($AA109,'SKOR PPH'!$B$13:$D$21,3,FALSE)</f>
        <v>8.0918500568239279E-2</v>
      </c>
      <c r="AH109" s="238">
        <f>N109*VLOOKUP($AA109,'SKOR PPH'!$B$13:$D$21,3,FALSE)</f>
        <v>4.5516656569634592E-3</v>
      </c>
      <c r="AI109" s="238">
        <f>O109*VLOOKUP($AA109,'SKOR PPH'!$B$13:$D$21,3,FALSE)</f>
        <v>2.0229625142059822E-3</v>
      </c>
      <c r="AJ109" s="238">
        <f>P109*VLOOKUP($AA109,'SKOR PPH'!$B$13:$D$21,3,FALSE)</f>
        <v>1.4666478227993369E-2</v>
      </c>
      <c r="AK109" s="238">
        <f>$AD109*VLOOKUP($AA109,'SKOR PPH'!$B$13:$D$21,3,FALSE)</f>
        <v>0.71231074443872611</v>
      </c>
      <c r="AL109" s="238">
        <f>R109*VLOOKUP($AA109,'SKOR PPH'!$B$13:$D$21,3,FALSE)</f>
        <v>0.84999831582921304</v>
      </c>
      <c r="AM109" s="238">
        <f>S109*VLOOKUP($AA109,'SKOR PPH'!$B$13:$D$21,3,FALSE)</f>
        <v>4.781240526539323E-2</v>
      </c>
      <c r="AN109" s="238">
        <f>T109*VLOOKUP($AA109,'SKOR PPH'!$B$13:$D$21,3,FALSE)</f>
        <v>2.1249957895730327E-2</v>
      </c>
      <c r="AO109" s="238">
        <f>U109*VLOOKUP($AA109,'SKOR PPH'!$B$13:$D$21,3,FALSE)</f>
        <v>0.15406219474404487</v>
      </c>
      <c r="AP109" s="238">
        <f>$AE109*VLOOKUP($AA109,'SKOR PPH'!$B$13:$D$21,3,FALSE)</f>
        <v>7.4823795407501148</v>
      </c>
      <c r="AQ109" s="238">
        <f>W109*VLOOKUP($AA109,'SKOR PPH'!$B$13:$D$21,3,FALSE)</f>
        <v>0.9309168163974515</v>
      </c>
      <c r="AR109" s="238">
        <f>X109*VLOOKUP($AA109,'SKOR PPH'!$B$13:$D$21,3,FALSE)</f>
        <v>5.2364070922356655E-2</v>
      </c>
      <c r="AS109" s="238">
        <f>Y109*VLOOKUP($AA109,'SKOR PPH'!$B$13:$D$21,3,FALSE)</f>
        <v>2.3272920409936292E-2</v>
      </c>
      <c r="AT109" s="238">
        <f>Z109*VLOOKUP($AA109,'SKOR PPH'!$B$13:$D$21,3,FALSE)</f>
        <v>0.16872867297203811</v>
      </c>
      <c r="AU109" s="238">
        <f>$AF109*VLOOKUP($AA109,'SKOR PPH'!$B$13:$D$21,3,FALSE)</f>
        <v>8.1946902851888339</v>
      </c>
    </row>
    <row r="110" spans="2:47" ht="15" customHeight="1" x14ac:dyDescent="0.2">
      <c r="B110" s="199" t="s">
        <v>67</v>
      </c>
      <c r="C110" s="207">
        <v>1000</v>
      </c>
      <c r="D110" s="149">
        <v>168</v>
      </c>
      <c r="E110" s="243">
        <v>20.399999999999999</v>
      </c>
      <c r="F110" s="149">
        <v>4.2</v>
      </c>
      <c r="G110" s="261">
        <v>23.4</v>
      </c>
      <c r="H110" s="208" t="s">
        <v>200</v>
      </c>
      <c r="I110" s="311">
        <v>8.1467559157182012E-3</v>
      </c>
      <c r="J110" s="311">
        <v>6.865972028904882E-2</v>
      </c>
      <c r="K110" s="311">
        <v>7.6806476204766994E-2</v>
      </c>
      <c r="L110" s="144">
        <f t="shared" si="174"/>
        <v>1.1638222736740287</v>
      </c>
      <c r="M110" s="144">
        <f t="shared" si="175"/>
        <v>0.19552214197723683</v>
      </c>
      <c r="N110" s="144">
        <f t="shared" si="176"/>
        <v>2.3741974382950188E-2</v>
      </c>
      <c r="O110" s="144">
        <f t="shared" si="177"/>
        <v>4.8880535494309207E-3</v>
      </c>
      <c r="P110" s="144">
        <f t="shared" si="178"/>
        <v>2.7233441203972274E-2</v>
      </c>
      <c r="Q110" s="144">
        <f t="shared" si="179"/>
        <v>9.8085314698641177</v>
      </c>
      <c r="R110" s="144">
        <f t="shared" si="180"/>
        <v>1.6478332869371717</v>
      </c>
      <c r="S110" s="144">
        <f t="shared" si="181"/>
        <v>0.20009404198522798</v>
      </c>
      <c r="T110" s="144">
        <f t="shared" si="182"/>
        <v>4.1195832173429293E-2</v>
      </c>
      <c r="U110" s="144">
        <f t="shared" si="183"/>
        <v>0.22951963639482034</v>
      </c>
      <c r="V110" s="338">
        <f t="shared" si="184"/>
        <v>10.972353743538141</v>
      </c>
      <c r="W110" s="338">
        <f t="shared" si="185"/>
        <v>1.8433554289144081</v>
      </c>
      <c r="X110" s="338">
        <f t="shared" si="186"/>
        <v>0.22383601636817807</v>
      </c>
      <c r="Y110" s="338">
        <f t="shared" si="187"/>
        <v>4.60838857228602E-2</v>
      </c>
      <c r="Z110" s="338">
        <f t="shared" si="188"/>
        <v>0.25675307759879251</v>
      </c>
      <c r="AA110" s="199">
        <v>8</v>
      </c>
      <c r="AB110" s="176">
        <v>25</v>
      </c>
      <c r="AC110" s="177">
        <v>1</v>
      </c>
      <c r="AD110" s="238">
        <f t="shared" si="189"/>
        <v>1.1638222736740287</v>
      </c>
      <c r="AE110" s="238">
        <f t="shared" si="190"/>
        <v>9.8085314698641177</v>
      </c>
      <c r="AF110" s="238">
        <f t="shared" si="191"/>
        <v>10.972353743538141</v>
      </c>
      <c r="AG110" s="238">
        <f>M110*VLOOKUP($AA110,'SKOR PPH'!$B$13:$D$21,3,FALSE)</f>
        <v>0.27466950504962229</v>
      </c>
      <c r="AH110" s="238">
        <f>N110*VLOOKUP($AA110,'SKOR PPH'!$B$13:$D$21,3,FALSE)</f>
        <v>3.3352725613168425E-2</v>
      </c>
      <c r="AI110" s="238">
        <f>O110*VLOOKUP($AA110,'SKOR PPH'!$B$13:$D$21,3,FALSE)</f>
        <v>6.866737626240558E-3</v>
      </c>
      <c r="AJ110" s="238">
        <f>P110*VLOOKUP($AA110,'SKOR PPH'!$B$13:$D$21,3,FALSE)</f>
        <v>3.8257538203340248E-2</v>
      </c>
      <c r="AK110" s="238">
        <f>$AD110*VLOOKUP($AA110,'SKOR PPH'!$B$13:$D$21,3,FALSE)</f>
        <v>1.6349375300572755</v>
      </c>
      <c r="AL110" s="238">
        <f>R110*VLOOKUP($AA110,'SKOR PPH'!$B$13:$D$21,3,FALSE)</f>
        <v>2.3148762014893389</v>
      </c>
      <c r="AM110" s="238">
        <f>S110*VLOOKUP($AA110,'SKOR PPH'!$B$13:$D$21,3,FALSE)</f>
        <v>0.28109211018084829</v>
      </c>
      <c r="AN110" s="238">
        <f>T110*VLOOKUP($AA110,'SKOR PPH'!$B$13:$D$21,3,FALSE)</f>
        <v>5.7871905037233475E-2</v>
      </c>
      <c r="AO110" s="238">
        <f>U110*VLOOKUP($AA110,'SKOR PPH'!$B$13:$D$21,3,FALSE)</f>
        <v>0.32242918520744362</v>
      </c>
      <c r="AP110" s="238">
        <f>$AE110*VLOOKUP($AA110,'SKOR PPH'!$B$13:$D$21,3,FALSE)</f>
        <v>13.779025008865114</v>
      </c>
      <c r="AQ110" s="238">
        <f>W110*VLOOKUP($AA110,'SKOR PPH'!$B$13:$D$21,3,FALSE)</f>
        <v>2.5895457065389604</v>
      </c>
      <c r="AR110" s="238">
        <f>X110*VLOOKUP($AA110,'SKOR PPH'!$B$13:$D$21,3,FALSE)</f>
        <v>0.31444483579401655</v>
      </c>
      <c r="AS110" s="238">
        <f>Y110*VLOOKUP($AA110,'SKOR PPH'!$B$13:$D$21,3,FALSE)</f>
        <v>6.4738642663474011E-2</v>
      </c>
      <c r="AT110" s="238">
        <f>Z110*VLOOKUP($AA110,'SKOR PPH'!$B$13:$D$21,3,FALSE)</f>
        <v>0.36068672341078373</v>
      </c>
      <c r="AU110" s="238">
        <f>$AF110*VLOOKUP($AA110,'SKOR PPH'!$B$13:$D$21,3,FALSE)</f>
        <v>15.413962538922382</v>
      </c>
    </row>
    <row r="111" spans="2:47" ht="15" customHeight="1" x14ac:dyDescent="0.2">
      <c r="B111" s="199" t="s">
        <v>68</v>
      </c>
      <c r="C111" s="207">
        <v>1000</v>
      </c>
      <c r="D111" s="149">
        <v>180</v>
      </c>
      <c r="E111" s="243">
        <v>10.5</v>
      </c>
      <c r="F111" s="149">
        <v>1.5</v>
      </c>
      <c r="G111" s="261">
        <v>39.75</v>
      </c>
      <c r="H111" s="208" t="s">
        <v>200</v>
      </c>
      <c r="I111" s="311">
        <v>0</v>
      </c>
      <c r="J111" s="311">
        <v>0</v>
      </c>
      <c r="K111" s="311">
        <v>0</v>
      </c>
      <c r="L111" s="144">
        <f t="shared" si="174"/>
        <v>0</v>
      </c>
      <c r="M111" s="144">
        <f t="shared" si="175"/>
        <v>0</v>
      </c>
      <c r="N111" s="144">
        <f t="shared" si="176"/>
        <v>0</v>
      </c>
      <c r="O111" s="144">
        <f t="shared" si="177"/>
        <v>0</v>
      </c>
      <c r="P111" s="144">
        <f t="shared" si="178"/>
        <v>0</v>
      </c>
      <c r="Q111" s="144">
        <f t="shared" si="179"/>
        <v>0</v>
      </c>
      <c r="R111" s="144">
        <f t="shared" si="180"/>
        <v>0</v>
      </c>
      <c r="S111" s="144">
        <f t="shared" si="181"/>
        <v>0</v>
      </c>
      <c r="T111" s="144">
        <f t="shared" si="182"/>
        <v>0</v>
      </c>
      <c r="U111" s="144">
        <f t="shared" si="183"/>
        <v>0</v>
      </c>
      <c r="V111" s="338">
        <f t="shared" si="184"/>
        <v>0</v>
      </c>
      <c r="W111" s="338">
        <f t="shared" si="185"/>
        <v>0</v>
      </c>
      <c r="X111" s="338">
        <f t="shared" si="186"/>
        <v>0</v>
      </c>
      <c r="Y111" s="338">
        <f t="shared" si="187"/>
        <v>0</v>
      </c>
      <c r="Z111" s="338">
        <f t="shared" si="188"/>
        <v>0</v>
      </c>
      <c r="AA111" s="199">
        <v>8</v>
      </c>
      <c r="AB111" s="176">
        <v>25</v>
      </c>
      <c r="AC111" s="177">
        <v>1</v>
      </c>
      <c r="AD111" s="238">
        <f t="shared" si="189"/>
        <v>0</v>
      </c>
      <c r="AE111" s="238">
        <f t="shared" si="190"/>
        <v>0</v>
      </c>
      <c r="AF111" s="238">
        <f t="shared" si="191"/>
        <v>0</v>
      </c>
      <c r="AG111" s="238">
        <f>M111*VLOOKUP($AA111,'SKOR PPH'!$B$13:$D$21,3,FALSE)</f>
        <v>0</v>
      </c>
      <c r="AH111" s="238">
        <f>N111*VLOOKUP($AA111,'SKOR PPH'!$B$13:$D$21,3,FALSE)</f>
        <v>0</v>
      </c>
      <c r="AI111" s="238">
        <f>O111*VLOOKUP($AA111,'SKOR PPH'!$B$13:$D$21,3,FALSE)</f>
        <v>0</v>
      </c>
      <c r="AJ111" s="238">
        <f>P111*VLOOKUP($AA111,'SKOR PPH'!$B$13:$D$21,3,FALSE)</f>
        <v>0</v>
      </c>
      <c r="AK111" s="238">
        <f>$AD111*VLOOKUP($AA111,'SKOR PPH'!$B$13:$D$21,3,FALSE)</f>
        <v>0</v>
      </c>
      <c r="AL111" s="238">
        <f>R111*VLOOKUP($AA111,'SKOR PPH'!$B$13:$D$21,3,FALSE)</f>
        <v>0</v>
      </c>
      <c r="AM111" s="238">
        <f>S111*VLOOKUP($AA111,'SKOR PPH'!$B$13:$D$21,3,FALSE)</f>
        <v>0</v>
      </c>
      <c r="AN111" s="238">
        <f>T111*VLOOKUP($AA111,'SKOR PPH'!$B$13:$D$21,3,FALSE)</f>
        <v>0</v>
      </c>
      <c r="AO111" s="238">
        <f>U111*VLOOKUP($AA111,'SKOR PPH'!$B$13:$D$21,3,FALSE)</f>
        <v>0</v>
      </c>
      <c r="AP111" s="238">
        <f>$AE111*VLOOKUP($AA111,'SKOR PPH'!$B$13:$D$21,3,FALSE)</f>
        <v>0</v>
      </c>
      <c r="AQ111" s="238">
        <f>W111*VLOOKUP($AA111,'SKOR PPH'!$B$13:$D$21,3,FALSE)</f>
        <v>0</v>
      </c>
      <c r="AR111" s="238">
        <f>X111*VLOOKUP($AA111,'SKOR PPH'!$B$13:$D$21,3,FALSE)</f>
        <v>0</v>
      </c>
      <c r="AS111" s="238">
        <f>Y111*VLOOKUP($AA111,'SKOR PPH'!$B$13:$D$21,3,FALSE)</f>
        <v>0</v>
      </c>
      <c r="AT111" s="238">
        <f>Z111*VLOOKUP($AA111,'SKOR PPH'!$B$13:$D$21,3,FALSE)</f>
        <v>0</v>
      </c>
      <c r="AU111" s="238">
        <f>$AF111*VLOOKUP($AA111,'SKOR PPH'!$B$13:$D$21,3,FALSE)</f>
        <v>0</v>
      </c>
    </row>
    <row r="112" spans="2:47" ht="15" customHeight="1" x14ac:dyDescent="0.2">
      <c r="B112" s="199" t="s">
        <v>69</v>
      </c>
      <c r="C112" s="207">
        <v>1000</v>
      </c>
      <c r="D112" s="149">
        <v>66</v>
      </c>
      <c r="E112" s="243">
        <v>6.3</v>
      </c>
      <c r="F112" s="149">
        <v>1.5</v>
      </c>
      <c r="G112" s="261">
        <v>10.8</v>
      </c>
      <c r="H112" s="208" t="s">
        <v>200</v>
      </c>
      <c r="I112" s="311">
        <v>0</v>
      </c>
      <c r="J112" s="311">
        <v>0</v>
      </c>
      <c r="K112" s="311">
        <v>0</v>
      </c>
      <c r="L112" s="144">
        <f t="shared" si="174"/>
        <v>0</v>
      </c>
      <c r="M112" s="144">
        <f t="shared" si="175"/>
        <v>0</v>
      </c>
      <c r="N112" s="144">
        <f t="shared" si="176"/>
        <v>0</v>
      </c>
      <c r="O112" s="144">
        <f t="shared" si="177"/>
        <v>0</v>
      </c>
      <c r="P112" s="144">
        <f t="shared" si="178"/>
        <v>0</v>
      </c>
      <c r="Q112" s="144">
        <f t="shared" si="179"/>
        <v>0</v>
      </c>
      <c r="R112" s="144">
        <f t="shared" si="180"/>
        <v>0</v>
      </c>
      <c r="S112" s="144">
        <f t="shared" si="181"/>
        <v>0</v>
      </c>
      <c r="T112" s="144">
        <f t="shared" si="182"/>
        <v>0</v>
      </c>
      <c r="U112" s="144">
        <f t="shared" si="183"/>
        <v>0</v>
      </c>
      <c r="V112" s="338">
        <f t="shared" si="184"/>
        <v>0</v>
      </c>
      <c r="W112" s="338">
        <f t="shared" si="185"/>
        <v>0</v>
      </c>
      <c r="X112" s="338">
        <f t="shared" si="186"/>
        <v>0</v>
      </c>
      <c r="Y112" s="338">
        <f t="shared" si="187"/>
        <v>0</v>
      </c>
      <c r="Z112" s="338">
        <f t="shared" si="188"/>
        <v>0</v>
      </c>
      <c r="AA112" s="199">
        <v>8</v>
      </c>
      <c r="AB112" s="176">
        <v>25</v>
      </c>
      <c r="AC112" s="177">
        <v>1</v>
      </c>
      <c r="AD112" s="238">
        <f t="shared" si="189"/>
        <v>0</v>
      </c>
      <c r="AE112" s="238">
        <f t="shared" si="190"/>
        <v>0</v>
      </c>
      <c r="AF112" s="238">
        <f t="shared" si="191"/>
        <v>0</v>
      </c>
      <c r="AG112" s="238">
        <f>M112*VLOOKUP($AA112,'SKOR PPH'!$B$13:$D$21,3,FALSE)</f>
        <v>0</v>
      </c>
      <c r="AH112" s="238">
        <f>N112*VLOOKUP($AA112,'SKOR PPH'!$B$13:$D$21,3,FALSE)</f>
        <v>0</v>
      </c>
      <c r="AI112" s="238">
        <f>O112*VLOOKUP($AA112,'SKOR PPH'!$B$13:$D$21,3,FALSE)</f>
        <v>0</v>
      </c>
      <c r="AJ112" s="238">
        <f>P112*VLOOKUP($AA112,'SKOR PPH'!$B$13:$D$21,3,FALSE)</f>
        <v>0</v>
      </c>
      <c r="AK112" s="238">
        <f>$AD112*VLOOKUP($AA112,'SKOR PPH'!$B$13:$D$21,3,FALSE)</f>
        <v>0</v>
      </c>
      <c r="AL112" s="238">
        <f>R112*VLOOKUP($AA112,'SKOR PPH'!$B$13:$D$21,3,FALSE)</f>
        <v>0</v>
      </c>
      <c r="AM112" s="238">
        <f>S112*VLOOKUP($AA112,'SKOR PPH'!$B$13:$D$21,3,FALSE)</f>
        <v>0</v>
      </c>
      <c r="AN112" s="238">
        <f>T112*VLOOKUP($AA112,'SKOR PPH'!$B$13:$D$21,3,FALSE)</f>
        <v>0</v>
      </c>
      <c r="AO112" s="238">
        <f>U112*VLOOKUP($AA112,'SKOR PPH'!$B$13:$D$21,3,FALSE)</f>
        <v>0</v>
      </c>
      <c r="AP112" s="238">
        <f>$AE112*VLOOKUP($AA112,'SKOR PPH'!$B$13:$D$21,3,FALSE)</f>
        <v>0</v>
      </c>
      <c r="AQ112" s="238">
        <f>W112*VLOOKUP($AA112,'SKOR PPH'!$B$13:$D$21,3,FALSE)</f>
        <v>0</v>
      </c>
      <c r="AR112" s="238">
        <f>X112*VLOOKUP($AA112,'SKOR PPH'!$B$13:$D$21,3,FALSE)</f>
        <v>0</v>
      </c>
      <c r="AS112" s="238">
        <f>Y112*VLOOKUP($AA112,'SKOR PPH'!$B$13:$D$21,3,FALSE)</f>
        <v>0</v>
      </c>
      <c r="AT112" s="238">
        <f>Z112*VLOOKUP($AA112,'SKOR PPH'!$B$13:$D$21,3,FALSE)</f>
        <v>0</v>
      </c>
      <c r="AU112" s="238">
        <f>$AF112*VLOOKUP($AA112,'SKOR PPH'!$B$13:$D$21,3,FALSE)</f>
        <v>0</v>
      </c>
    </row>
    <row r="113" spans="2:47" ht="15" customHeight="1" x14ac:dyDescent="0.2">
      <c r="B113" s="199" t="s">
        <v>70</v>
      </c>
      <c r="C113" s="207">
        <v>1000</v>
      </c>
      <c r="D113" s="149">
        <v>191.4</v>
      </c>
      <c r="E113" s="243">
        <v>20.010000000000002</v>
      </c>
      <c r="F113" s="149">
        <v>2.61</v>
      </c>
      <c r="G113" s="261">
        <v>34.799999999999997</v>
      </c>
      <c r="H113" s="208" t="s">
        <v>200</v>
      </c>
      <c r="I113" s="311">
        <v>1.4277337318053496E-3</v>
      </c>
      <c r="J113" s="311">
        <v>1.9473342296717506E-2</v>
      </c>
      <c r="K113" s="311">
        <v>2.0901076028522848E-2</v>
      </c>
      <c r="L113" s="144">
        <f t="shared" si="174"/>
        <v>0.20396196168647851</v>
      </c>
      <c r="M113" s="144">
        <f t="shared" si="175"/>
        <v>3.9038319466791989E-2</v>
      </c>
      <c r="N113" s="144">
        <f t="shared" si="176"/>
        <v>4.081278853346435E-3</v>
      </c>
      <c r="O113" s="144">
        <f t="shared" si="177"/>
        <v>5.3234072000170893E-4</v>
      </c>
      <c r="P113" s="144">
        <f t="shared" si="178"/>
        <v>7.0978762666894521E-3</v>
      </c>
      <c r="Q113" s="144">
        <f t="shared" si="179"/>
        <v>2.7819060423882149</v>
      </c>
      <c r="R113" s="144">
        <f t="shared" si="180"/>
        <v>0.53245681651310439</v>
      </c>
      <c r="S113" s="144">
        <f t="shared" si="181"/>
        <v>5.5665939908188189E-2</v>
      </c>
      <c r="T113" s="144">
        <f t="shared" si="182"/>
        <v>7.2607747706332415E-3</v>
      </c>
      <c r="U113" s="144">
        <f t="shared" si="183"/>
        <v>9.6810330275109879E-2</v>
      </c>
      <c r="V113" s="338">
        <f t="shared" si="184"/>
        <v>2.9858680040746925</v>
      </c>
      <c r="W113" s="338">
        <f t="shared" si="185"/>
        <v>0.57149513597989621</v>
      </c>
      <c r="X113" s="338">
        <f t="shared" si="186"/>
        <v>5.9747218761534604E-2</v>
      </c>
      <c r="Y113" s="338">
        <f t="shared" si="187"/>
        <v>7.7931154906349474E-3</v>
      </c>
      <c r="Z113" s="338">
        <f t="shared" si="188"/>
        <v>0.1039082065417993</v>
      </c>
      <c r="AA113" s="199">
        <v>8</v>
      </c>
      <c r="AB113" s="176">
        <v>25</v>
      </c>
      <c r="AC113" s="177">
        <v>1</v>
      </c>
      <c r="AD113" s="238">
        <f t="shared" si="189"/>
        <v>0.20396196168647851</v>
      </c>
      <c r="AE113" s="238">
        <f t="shared" si="190"/>
        <v>2.7819060423882149</v>
      </c>
      <c r="AF113" s="238">
        <f t="shared" si="191"/>
        <v>2.9858680040746925</v>
      </c>
      <c r="AG113" s="238">
        <f>M113*VLOOKUP($AA113,'SKOR PPH'!$B$13:$D$21,3,FALSE)</f>
        <v>5.4841031186949385E-2</v>
      </c>
      <c r="AH113" s="238">
        <f>N113*VLOOKUP($AA113,'SKOR PPH'!$B$13:$D$21,3,FALSE)</f>
        <v>5.7333805331810719E-3</v>
      </c>
      <c r="AI113" s="238">
        <f>O113*VLOOKUP($AA113,'SKOR PPH'!$B$13:$D$21,3,FALSE)</f>
        <v>7.4783224345840072E-4</v>
      </c>
      <c r="AJ113" s="238">
        <f>P113*VLOOKUP($AA113,'SKOR PPH'!$B$13:$D$21,3,FALSE)</f>
        <v>9.9710965794453429E-3</v>
      </c>
      <c r="AK113" s="238">
        <f>$AD113*VLOOKUP($AA113,'SKOR PPH'!$B$13:$D$21,3,FALSE)</f>
        <v>0.28652576377716504</v>
      </c>
      <c r="AL113" s="238">
        <f>R113*VLOOKUP($AA113,'SKOR PPH'!$B$13:$D$21,3,FALSE)</f>
        <v>0.74799533583760902</v>
      </c>
      <c r="AM113" s="238">
        <f>S113*VLOOKUP($AA113,'SKOR PPH'!$B$13:$D$21,3,FALSE)</f>
        <v>7.8199512383022765E-2</v>
      </c>
      <c r="AN113" s="238">
        <f>T113*VLOOKUP($AA113,'SKOR PPH'!$B$13:$D$21,3,FALSE)</f>
        <v>1.0199936397785579E-2</v>
      </c>
      <c r="AO113" s="238">
        <f>U113*VLOOKUP($AA113,'SKOR PPH'!$B$13:$D$21,3,FALSE)</f>
        <v>0.13599915197047435</v>
      </c>
      <c r="AP113" s="238">
        <f>$AE113*VLOOKUP($AA113,'SKOR PPH'!$B$13:$D$21,3,FALSE)</f>
        <v>3.9080216083469645</v>
      </c>
      <c r="AQ113" s="238">
        <f>W113*VLOOKUP($AA113,'SKOR PPH'!$B$13:$D$21,3,FALSE)</f>
        <v>0.80283636702455818</v>
      </c>
      <c r="AR113" s="238">
        <f>X113*VLOOKUP($AA113,'SKOR PPH'!$B$13:$D$21,3,FALSE)</f>
        <v>8.3932892916203816E-2</v>
      </c>
      <c r="AS113" s="238">
        <f>Y113*VLOOKUP($AA113,'SKOR PPH'!$B$13:$D$21,3,FALSE)</f>
        <v>1.0947768641243975E-2</v>
      </c>
      <c r="AT113" s="238">
        <f>Z113*VLOOKUP($AA113,'SKOR PPH'!$B$13:$D$21,3,FALSE)</f>
        <v>0.14597024854991966</v>
      </c>
      <c r="AU113" s="238">
        <f>$AF113*VLOOKUP($AA113,'SKOR PPH'!$B$13:$D$21,3,FALSE)</f>
        <v>4.194547372124128</v>
      </c>
    </row>
    <row r="114" spans="2:47" ht="15" customHeight="1" x14ac:dyDescent="0.2">
      <c r="B114" s="199" t="s">
        <v>71</v>
      </c>
      <c r="C114" s="207">
        <v>1000</v>
      </c>
      <c r="D114" s="149">
        <v>306</v>
      </c>
      <c r="E114" s="243">
        <v>21.6</v>
      </c>
      <c r="F114" s="149">
        <v>2.7</v>
      </c>
      <c r="G114" s="261">
        <v>64.8</v>
      </c>
      <c r="H114" s="208" t="s">
        <v>200</v>
      </c>
      <c r="I114" s="311">
        <v>1.2385508016198583E-3</v>
      </c>
      <c r="J114" s="311">
        <v>1.3541991382669687E-2</v>
      </c>
      <c r="K114" s="311">
        <v>1.4780542184289548E-2</v>
      </c>
      <c r="L114" s="144">
        <f t="shared" si="174"/>
        <v>0.1769358288028369</v>
      </c>
      <c r="M114" s="144">
        <f t="shared" si="175"/>
        <v>5.4142363613668094E-2</v>
      </c>
      <c r="N114" s="144">
        <f t="shared" si="176"/>
        <v>3.8218139021412773E-3</v>
      </c>
      <c r="O114" s="144">
        <f t="shared" si="177"/>
        <v>4.7772673776765967E-4</v>
      </c>
      <c r="P114" s="144">
        <f t="shared" si="178"/>
        <v>1.1465441706423831E-2</v>
      </c>
      <c r="Q114" s="144">
        <f t="shared" si="179"/>
        <v>1.9345701975242411</v>
      </c>
      <c r="R114" s="144">
        <f t="shared" si="180"/>
        <v>0.59197848044241774</v>
      </c>
      <c r="S114" s="144">
        <f t="shared" si="181"/>
        <v>4.1786716266523603E-2</v>
      </c>
      <c r="T114" s="144">
        <f t="shared" si="182"/>
        <v>5.2233395333154504E-3</v>
      </c>
      <c r="U114" s="144">
        <f t="shared" si="183"/>
        <v>0.12536014879957083</v>
      </c>
      <c r="V114" s="338">
        <f t="shared" si="184"/>
        <v>2.1115060263270782</v>
      </c>
      <c r="W114" s="338">
        <f t="shared" si="185"/>
        <v>0.64612084405608594</v>
      </c>
      <c r="X114" s="338">
        <f t="shared" si="186"/>
        <v>4.5608530168664896E-2</v>
      </c>
      <c r="Y114" s="338">
        <f t="shared" si="187"/>
        <v>5.701066271083112E-3</v>
      </c>
      <c r="Z114" s="338">
        <f t="shared" si="188"/>
        <v>0.13682559050599466</v>
      </c>
      <c r="AA114" s="199">
        <v>8</v>
      </c>
      <c r="AB114" s="176">
        <v>25</v>
      </c>
      <c r="AC114" s="177">
        <v>1</v>
      </c>
      <c r="AD114" s="238">
        <f t="shared" si="189"/>
        <v>0.1769358288028369</v>
      </c>
      <c r="AE114" s="238">
        <f t="shared" si="190"/>
        <v>1.9345701975242411</v>
      </c>
      <c r="AF114" s="238">
        <f t="shared" si="191"/>
        <v>2.1115060263270782</v>
      </c>
      <c r="AG114" s="238">
        <f>M114*VLOOKUP($AA114,'SKOR PPH'!$B$13:$D$21,3,FALSE)</f>
        <v>7.6059192404480946E-2</v>
      </c>
      <c r="AH114" s="238">
        <f>N114*VLOOKUP($AA114,'SKOR PPH'!$B$13:$D$21,3,FALSE)</f>
        <v>5.3688841697280667E-3</v>
      </c>
      <c r="AI114" s="238">
        <f>O114*VLOOKUP($AA114,'SKOR PPH'!$B$13:$D$21,3,FALSE)</f>
        <v>6.7111052121600833E-4</v>
      </c>
      <c r="AJ114" s="238">
        <f>P114*VLOOKUP($AA114,'SKOR PPH'!$B$13:$D$21,3,FALSE)</f>
        <v>1.6106652509184197E-2</v>
      </c>
      <c r="AK114" s="238">
        <f>$AD114*VLOOKUP($AA114,'SKOR PPH'!$B$13:$D$21,3,FALSE)</f>
        <v>0.24855945230222529</v>
      </c>
      <c r="AL114" s="238">
        <f>R114*VLOOKUP($AA114,'SKOR PPH'!$B$13:$D$21,3,FALSE)</f>
        <v>0.8316113693255085</v>
      </c>
      <c r="AM114" s="238">
        <f>S114*VLOOKUP($AA114,'SKOR PPH'!$B$13:$D$21,3,FALSE)</f>
        <v>5.8701979011212359E-2</v>
      </c>
      <c r="AN114" s="238">
        <f>T114*VLOOKUP($AA114,'SKOR PPH'!$B$13:$D$21,3,FALSE)</f>
        <v>7.3377473764015448E-3</v>
      </c>
      <c r="AO114" s="238">
        <f>U114*VLOOKUP($AA114,'SKOR PPH'!$B$13:$D$21,3,FALSE)</f>
        <v>0.17610593703363711</v>
      </c>
      <c r="AP114" s="238">
        <f>$AE114*VLOOKUP($AA114,'SKOR PPH'!$B$13:$D$21,3,FALSE)</f>
        <v>2.717684213482054</v>
      </c>
      <c r="AQ114" s="238">
        <f>W114*VLOOKUP($AA114,'SKOR PPH'!$B$13:$D$21,3,FALSE)</f>
        <v>0.90767056172998961</v>
      </c>
      <c r="AR114" s="238">
        <f>X114*VLOOKUP($AA114,'SKOR PPH'!$B$13:$D$21,3,FALSE)</f>
        <v>6.4070863180940449E-2</v>
      </c>
      <c r="AS114" s="238">
        <f>Y114*VLOOKUP($AA114,'SKOR PPH'!$B$13:$D$21,3,FALSE)</f>
        <v>8.0088578976175561E-3</v>
      </c>
      <c r="AT114" s="238">
        <f>Z114*VLOOKUP($AA114,'SKOR PPH'!$B$13:$D$21,3,FALSE)</f>
        <v>0.1922125895428213</v>
      </c>
      <c r="AU114" s="238">
        <f>$AF114*VLOOKUP($AA114,'SKOR PPH'!$B$13:$D$21,3,FALSE)</f>
        <v>2.9662436657842797</v>
      </c>
    </row>
    <row r="115" spans="2:47" ht="15" customHeight="1" x14ac:dyDescent="0.2">
      <c r="B115" s="199" t="s">
        <v>72</v>
      </c>
      <c r="C115" s="207">
        <v>1000</v>
      </c>
      <c r="D115" s="149">
        <v>276</v>
      </c>
      <c r="E115" s="243">
        <v>27.6</v>
      </c>
      <c r="F115" s="149">
        <v>4.5999999999999996</v>
      </c>
      <c r="G115" s="261">
        <v>47.8</v>
      </c>
      <c r="H115" s="208" t="s">
        <v>200</v>
      </c>
      <c r="I115" s="311">
        <v>2.8998006172686374E-3</v>
      </c>
      <c r="J115" s="311">
        <v>4.6060898578303706E-2</v>
      </c>
      <c r="K115" s="311">
        <v>4.896069919557236E-2</v>
      </c>
      <c r="L115" s="144">
        <f t="shared" si="174"/>
        <v>0.41425723103837681</v>
      </c>
      <c r="M115" s="144">
        <f t="shared" si="175"/>
        <v>0.11433499576659199</v>
      </c>
      <c r="N115" s="144">
        <f t="shared" si="176"/>
        <v>1.1433499576659201E-2</v>
      </c>
      <c r="O115" s="144">
        <f t="shared" si="177"/>
        <v>1.9055832627765331E-3</v>
      </c>
      <c r="P115" s="144">
        <f t="shared" si="178"/>
        <v>1.9801495643634408E-2</v>
      </c>
      <c r="Q115" s="144">
        <f t="shared" si="179"/>
        <v>6.5801283683291008</v>
      </c>
      <c r="R115" s="144">
        <f t="shared" si="180"/>
        <v>1.8161154296588318</v>
      </c>
      <c r="S115" s="144">
        <f t="shared" si="181"/>
        <v>0.18161154296588319</v>
      </c>
      <c r="T115" s="144">
        <f t="shared" si="182"/>
        <v>3.0268590494313862E-2</v>
      </c>
      <c r="U115" s="144">
        <f t="shared" si="183"/>
        <v>0.31453013600613106</v>
      </c>
      <c r="V115" s="338">
        <f t="shared" si="184"/>
        <v>6.9943855993674804</v>
      </c>
      <c r="W115" s="338">
        <f t="shared" si="185"/>
        <v>1.9304504254254247</v>
      </c>
      <c r="X115" s="338">
        <f t="shared" si="186"/>
        <v>0.19304504254254246</v>
      </c>
      <c r="Y115" s="338">
        <f t="shared" si="187"/>
        <v>3.2174173757090405E-2</v>
      </c>
      <c r="Z115" s="338">
        <f t="shared" si="188"/>
        <v>0.33433163164976554</v>
      </c>
      <c r="AA115" s="199">
        <v>8</v>
      </c>
      <c r="AB115" s="176">
        <v>25</v>
      </c>
      <c r="AC115" s="177">
        <v>1</v>
      </c>
      <c r="AD115" s="238">
        <f t="shared" si="189"/>
        <v>0.41425723103837681</v>
      </c>
      <c r="AE115" s="238">
        <f t="shared" si="190"/>
        <v>6.5801283683291008</v>
      </c>
      <c r="AF115" s="238">
        <f t="shared" si="191"/>
        <v>6.9943855993674804</v>
      </c>
      <c r="AG115" s="238">
        <f>M115*VLOOKUP($AA115,'SKOR PPH'!$B$13:$D$21,3,FALSE)</f>
        <v>0.16061780205290843</v>
      </c>
      <c r="AH115" s="238">
        <f>N115*VLOOKUP($AA115,'SKOR PPH'!$B$13:$D$21,3,FALSE)</f>
        <v>1.6061780205290845E-2</v>
      </c>
      <c r="AI115" s="238">
        <f>O115*VLOOKUP($AA115,'SKOR PPH'!$B$13:$D$21,3,FALSE)</f>
        <v>2.6769633675484739E-3</v>
      </c>
      <c r="AJ115" s="238">
        <f>P115*VLOOKUP($AA115,'SKOR PPH'!$B$13:$D$21,3,FALSE)</f>
        <v>2.7817141080177618E-2</v>
      </c>
      <c r="AK115" s="238">
        <f>$AD115*VLOOKUP($AA115,'SKOR PPH'!$B$13:$D$21,3,FALSE)</f>
        <v>0.58194855816271174</v>
      </c>
      <c r="AL115" s="238">
        <f>R115*VLOOKUP($AA115,'SKOR PPH'!$B$13:$D$21,3,FALSE)</f>
        <v>2.5512789555847268</v>
      </c>
      <c r="AM115" s="238">
        <f>S115*VLOOKUP($AA115,'SKOR PPH'!$B$13:$D$21,3,FALSE)</f>
        <v>0.25512789555847271</v>
      </c>
      <c r="AN115" s="238">
        <f>T115*VLOOKUP($AA115,'SKOR PPH'!$B$13:$D$21,3,FALSE)</f>
        <v>4.2521315926412118E-2</v>
      </c>
      <c r="AO115" s="238">
        <f>U115*VLOOKUP($AA115,'SKOR PPH'!$B$13:$D$21,3,FALSE)</f>
        <v>0.4418519350614129</v>
      </c>
      <c r="AP115" s="238">
        <f>$AE115*VLOOKUP($AA115,'SKOR PPH'!$B$13:$D$21,3,FALSE)</f>
        <v>9.2437643318287215</v>
      </c>
      <c r="AQ115" s="238">
        <f>W115*VLOOKUP($AA115,'SKOR PPH'!$B$13:$D$21,3,FALSE)</f>
        <v>2.7118967576376365</v>
      </c>
      <c r="AR115" s="238">
        <f>X115*VLOOKUP($AA115,'SKOR PPH'!$B$13:$D$21,3,FALSE)</f>
        <v>0.27118967576376363</v>
      </c>
      <c r="AS115" s="238">
        <f>Y115*VLOOKUP($AA115,'SKOR PPH'!$B$13:$D$21,3,FALSE)</f>
        <v>4.51982792939606E-2</v>
      </c>
      <c r="AT115" s="238">
        <f>Z115*VLOOKUP($AA115,'SKOR PPH'!$B$13:$D$21,3,FALSE)</f>
        <v>0.46966907614159065</v>
      </c>
      <c r="AU115" s="238">
        <f>$AF115*VLOOKUP($AA115,'SKOR PPH'!$B$13:$D$21,3,FALSE)</f>
        <v>9.8257128899914363</v>
      </c>
    </row>
    <row r="116" spans="2:47" ht="15" customHeight="1" x14ac:dyDescent="0.2">
      <c r="B116" s="199" t="s">
        <v>73</v>
      </c>
      <c r="C116" s="207">
        <v>100</v>
      </c>
      <c r="D116" s="149">
        <v>19</v>
      </c>
      <c r="E116" s="243">
        <v>0.95</v>
      </c>
      <c r="F116" s="149">
        <v>0.28999999999999998</v>
      </c>
      <c r="G116" s="261">
        <v>3.99</v>
      </c>
      <c r="H116" s="208" t="s">
        <v>36</v>
      </c>
      <c r="I116" s="311">
        <v>1.3214249043568996E-2</v>
      </c>
      <c r="J116" s="311">
        <v>7.8117634982665371E-2</v>
      </c>
      <c r="K116" s="311">
        <v>9.1331884026234447E-2</v>
      </c>
      <c r="L116" s="144">
        <f t="shared" si="174"/>
        <v>0.18877498633669995</v>
      </c>
      <c r="M116" s="144">
        <f t="shared" si="175"/>
        <v>3.5867247403972992E-2</v>
      </c>
      <c r="N116" s="144">
        <f t="shared" si="176"/>
        <v>1.7933623701986495E-3</v>
      </c>
      <c r="O116" s="144">
        <f t="shared" si="177"/>
        <v>5.4744746037642985E-4</v>
      </c>
      <c r="P116" s="144">
        <f t="shared" si="178"/>
        <v>7.5321219548343281E-3</v>
      </c>
      <c r="Q116" s="144">
        <f t="shared" si="179"/>
        <v>1.1159662140380768</v>
      </c>
      <c r="R116" s="144">
        <f t="shared" si="180"/>
        <v>0.2120335806672346</v>
      </c>
      <c r="S116" s="144">
        <f t="shared" si="181"/>
        <v>1.0601679033361729E-2</v>
      </c>
      <c r="T116" s="144">
        <f t="shared" si="182"/>
        <v>3.2363020207104225E-3</v>
      </c>
      <c r="U116" s="144">
        <f t="shared" si="183"/>
        <v>4.4527051940119258E-2</v>
      </c>
      <c r="V116" s="338">
        <f t="shared" si="184"/>
        <v>1.3047412003747778</v>
      </c>
      <c r="W116" s="338">
        <f t="shared" si="185"/>
        <v>0.24790082807120778</v>
      </c>
      <c r="X116" s="338">
        <f t="shared" si="186"/>
        <v>1.2395041403560389E-2</v>
      </c>
      <c r="Y116" s="338">
        <f t="shared" si="187"/>
        <v>3.7837494810868551E-3</v>
      </c>
      <c r="Z116" s="338">
        <f t="shared" si="188"/>
        <v>5.2059173894953639E-2</v>
      </c>
      <c r="AA116" s="199">
        <v>8</v>
      </c>
      <c r="AB116" s="176">
        <v>25</v>
      </c>
      <c r="AC116" s="177">
        <v>1</v>
      </c>
      <c r="AD116" s="238">
        <f t="shared" si="189"/>
        <v>0.18877498633669995</v>
      </c>
      <c r="AE116" s="238">
        <f t="shared" si="190"/>
        <v>1.1159662140380768</v>
      </c>
      <c r="AF116" s="238">
        <f t="shared" si="191"/>
        <v>1.3047412003747778</v>
      </c>
      <c r="AG116" s="238">
        <f>M116*VLOOKUP($AA116,'SKOR PPH'!$B$13:$D$21,3,FALSE)</f>
        <v>5.0386309153101258E-2</v>
      </c>
      <c r="AH116" s="238">
        <f>N116*VLOOKUP($AA116,'SKOR PPH'!$B$13:$D$21,3,FALSE)</f>
        <v>2.519315457655063E-3</v>
      </c>
      <c r="AI116" s="238">
        <f>O116*VLOOKUP($AA116,'SKOR PPH'!$B$13:$D$21,3,FALSE)</f>
        <v>7.6905419233680872E-4</v>
      </c>
      <c r="AJ116" s="238">
        <f>P116*VLOOKUP($AA116,'SKOR PPH'!$B$13:$D$21,3,FALSE)</f>
        <v>1.0581124922151264E-2</v>
      </c>
      <c r="AK116" s="238">
        <f>$AD116*VLOOKUP($AA116,'SKOR PPH'!$B$13:$D$21,3,FALSE)</f>
        <v>0.26519110080579611</v>
      </c>
      <c r="AL116" s="238">
        <f>R116*VLOOKUP($AA116,'SKOR PPH'!$B$13:$D$21,3,FALSE)</f>
        <v>0.29786477412133117</v>
      </c>
      <c r="AM116" s="238">
        <f>S116*VLOOKUP($AA116,'SKOR PPH'!$B$13:$D$21,3,FALSE)</f>
        <v>1.4893238706066557E-2</v>
      </c>
      <c r="AN116" s="238">
        <f>T116*VLOOKUP($AA116,'SKOR PPH'!$B$13:$D$21,3,FALSE)</f>
        <v>4.5463570786940018E-3</v>
      </c>
      <c r="AO116" s="238">
        <f>U116*VLOOKUP($AA116,'SKOR PPH'!$B$13:$D$21,3,FALSE)</f>
        <v>6.2551602565479536E-2</v>
      </c>
      <c r="AP116" s="238">
        <f>$AE116*VLOOKUP($AA116,'SKOR PPH'!$B$13:$D$21,3,FALSE)</f>
        <v>1.5677093374806903</v>
      </c>
      <c r="AQ116" s="238">
        <f>W116*VLOOKUP($AA116,'SKOR PPH'!$B$13:$D$21,3,FALSE)</f>
        <v>0.34825108327443272</v>
      </c>
      <c r="AR116" s="238">
        <f>X116*VLOOKUP($AA116,'SKOR PPH'!$B$13:$D$21,3,FALSE)</f>
        <v>1.7412554163721634E-2</v>
      </c>
      <c r="AS116" s="238">
        <f>Y116*VLOOKUP($AA116,'SKOR PPH'!$B$13:$D$21,3,FALSE)</f>
        <v>5.315411271030814E-3</v>
      </c>
      <c r="AT116" s="238">
        <f>Z116*VLOOKUP($AA116,'SKOR PPH'!$B$13:$D$21,3,FALSE)</f>
        <v>7.3132727487630875E-2</v>
      </c>
      <c r="AU116" s="238">
        <f>$AF116*VLOOKUP($AA116,'SKOR PPH'!$B$13:$D$21,3,FALSE)</f>
        <v>1.832900438286488</v>
      </c>
    </row>
    <row r="117" spans="2:47" ht="15" customHeight="1" x14ac:dyDescent="0.2">
      <c r="B117" s="199" t="s">
        <v>74</v>
      </c>
      <c r="C117" s="207">
        <v>1000</v>
      </c>
      <c r="D117" s="149">
        <v>288</v>
      </c>
      <c r="E117" s="243">
        <v>8</v>
      </c>
      <c r="F117" s="149">
        <v>4.8</v>
      </c>
      <c r="G117" s="261">
        <v>63.2</v>
      </c>
      <c r="H117" s="208" t="s">
        <v>200</v>
      </c>
      <c r="I117" s="311">
        <v>0</v>
      </c>
      <c r="J117" s="311">
        <v>0</v>
      </c>
      <c r="K117" s="311">
        <v>0</v>
      </c>
      <c r="L117" s="144">
        <f t="shared" si="174"/>
        <v>0</v>
      </c>
      <c r="M117" s="144">
        <f t="shared" si="175"/>
        <v>0</v>
      </c>
      <c r="N117" s="144">
        <f t="shared" si="176"/>
        <v>0</v>
      </c>
      <c r="O117" s="144">
        <f t="shared" si="177"/>
        <v>0</v>
      </c>
      <c r="P117" s="144">
        <f t="shared" si="178"/>
        <v>0</v>
      </c>
      <c r="Q117" s="144">
        <f t="shared" si="179"/>
        <v>0</v>
      </c>
      <c r="R117" s="144">
        <f t="shared" si="180"/>
        <v>0</v>
      </c>
      <c r="S117" s="144">
        <f t="shared" si="181"/>
        <v>0</v>
      </c>
      <c r="T117" s="144">
        <f t="shared" si="182"/>
        <v>0</v>
      </c>
      <c r="U117" s="144">
        <f t="shared" si="183"/>
        <v>0</v>
      </c>
      <c r="V117" s="338">
        <f t="shared" si="184"/>
        <v>0</v>
      </c>
      <c r="W117" s="338">
        <f t="shared" si="185"/>
        <v>0</v>
      </c>
      <c r="X117" s="338">
        <f t="shared" si="186"/>
        <v>0</v>
      </c>
      <c r="Y117" s="338">
        <f t="shared" si="187"/>
        <v>0</v>
      </c>
      <c r="Z117" s="338">
        <f t="shared" si="188"/>
        <v>0</v>
      </c>
      <c r="AA117" s="199">
        <v>8</v>
      </c>
      <c r="AB117" s="176">
        <v>25</v>
      </c>
      <c r="AC117" s="177">
        <v>1</v>
      </c>
      <c r="AD117" s="238">
        <f t="shared" si="189"/>
        <v>0</v>
      </c>
      <c r="AE117" s="238">
        <f t="shared" si="190"/>
        <v>0</v>
      </c>
      <c r="AF117" s="238">
        <f t="shared" si="191"/>
        <v>0</v>
      </c>
      <c r="AG117" s="238">
        <f>M117*VLOOKUP($AA117,'SKOR PPH'!$B$13:$D$21,3,FALSE)</f>
        <v>0</v>
      </c>
      <c r="AH117" s="238">
        <f>N117*VLOOKUP($AA117,'SKOR PPH'!$B$13:$D$21,3,FALSE)</f>
        <v>0</v>
      </c>
      <c r="AI117" s="238">
        <f>O117*VLOOKUP($AA117,'SKOR PPH'!$B$13:$D$21,3,FALSE)</f>
        <v>0</v>
      </c>
      <c r="AJ117" s="238">
        <f>P117*VLOOKUP($AA117,'SKOR PPH'!$B$13:$D$21,3,FALSE)</f>
        <v>0</v>
      </c>
      <c r="AK117" s="238">
        <f>$AD117*VLOOKUP($AA117,'SKOR PPH'!$B$13:$D$21,3,FALSE)</f>
        <v>0</v>
      </c>
      <c r="AL117" s="238">
        <f>R117*VLOOKUP($AA117,'SKOR PPH'!$B$13:$D$21,3,FALSE)</f>
        <v>0</v>
      </c>
      <c r="AM117" s="238">
        <f>S117*VLOOKUP($AA117,'SKOR PPH'!$B$13:$D$21,3,FALSE)</f>
        <v>0</v>
      </c>
      <c r="AN117" s="238">
        <f>T117*VLOOKUP($AA117,'SKOR PPH'!$B$13:$D$21,3,FALSE)</f>
        <v>0</v>
      </c>
      <c r="AO117" s="238">
        <f>U117*VLOOKUP($AA117,'SKOR PPH'!$B$13:$D$21,3,FALSE)</f>
        <v>0</v>
      </c>
      <c r="AP117" s="238">
        <f>$AE117*VLOOKUP($AA117,'SKOR PPH'!$B$13:$D$21,3,FALSE)</f>
        <v>0</v>
      </c>
      <c r="AQ117" s="238">
        <f>W117*VLOOKUP($AA117,'SKOR PPH'!$B$13:$D$21,3,FALSE)</f>
        <v>0</v>
      </c>
      <c r="AR117" s="238">
        <f>X117*VLOOKUP($AA117,'SKOR PPH'!$B$13:$D$21,3,FALSE)</f>
        <v>0</v>
      </c>
      <c r="AS117" s="238">
        <f>Y117*VLOOKUP($AA117,'SKOR PPH'!$B$13:$D$21,3,FALSE)</f>
        <v>0</v>
      </c>
      <c r="AT117" s="238">
        <f>Z117*VLOOKUP($AA117,'SKOR PPH'!$B$13:$D$21,3,FALSE)</f>
        <v>0</v>
      </c>
      <c r="AU117" s="238">
        <f>$AF117*VLOOKUP($AA117,'SKOR PPH'!$B$13:$D$21,3,FALSE)</f>
        <v>0</v>
      </c>
    </row>
    <row r="118" spans="2:47" ht="15" customHeight="1" x14ac:dyDescent="0.2">
      <c r="B118" s="199" t="s">
        <v>75</v>
      </c>
      <c r="C118" s="207">
        <v>1000</v>
      </c>
      <c r="D118" s="149">
        <v>68.7</v>
      </c>
      <c r="E118" s="243">
        <v>3.22</v>
      </c>
      <c r="F118" s="149">
        <v>1.21</v>
      </c>
      <c r="G118" s="261">
        <v>13.67</v>
      </c>
      <c r="H118" s="208" t="s">
        <v>200</v>
      </c>
      <c r="I118" s="311">
        <v>0</v>
      </c>
      <c r="J118" s="311">
        <v>0</v>
      </c>
      <c r="K118" s="311">
        <v>0</v>
      </c>
      <c r="L118" s="144">
        <f t="shared" si="174"/>
        <v>0</v>
      </c>
      <c r="M118" s="144">
        <f t="shared" si="175"/>
        <v>0</v>
      </c>
      <c r="N118" s="144">
        <f t="shared" si="176"/>
        <v>0</v>
      </c>
      <c r="O118" s="144">
        <f t="shared" si="177"/>
        <v>0</v>
      </c>
      <c r="P118" s="144">
        <f t="shared" si="178"/>
        <v>0</v>
      </c>
      <c r="Q118" s="144">
        <f t="shared" si="179"/>
        <v>0</v>
      </c>
      <c r="R118" s="144">
        <f t="shared" si="180"/>
        <v>0</v>
      </c>
      <c r="S118" s="144">
        <f t="shared" si="181"/>
        <v>0</v>
      </c>
      <c r="T118" s="144">
        <f t="shared" si="182"/>
        <v>0</v>
      </c>
      <c r="U118" s="144">
        <f t="shared" si="183"/>
        <v>0</v>
      </c>
      <c r="V118" s="338">
        <f t="shared" si="184"/>
        <v>0</v>
      </c>
      <c r="W118" s="338">
        <f t="shared" si="185"/>
        <v>0</v>
      </c>
      <c r="X118" s="338">
        <f t="shared" si="186"/>
        <v>0</v>
      </c>
      <c r="Y118" s="338">
        <f t="shared" si="187"/>
        <v>0</v>
      </c>
      <c r="Z118" s="338">
        <f t="shared" si="188"/>
        <v>0</v>
      </c>
      <c r="AA118" s="199">
        <v>8</v>
      </c>
      <c r="AB118" s="176">
        <v>25</v>
      </c>
      <c r="AC118" s="177">
        <v>1</v>
      </c>
      <c r="AD118" s="238">
        <f t="shared" si="189"/>
        <v>0</v>
      </c>
      <c r="AE118" s="238">
        <f t="shared" si="190"/>
        <v>0</v>
      </c>
      <c r="AF118" s="238">
        <f t="shared" si="191"/>
        <v>0</v>
      </c>
      <c r="AG118" s="238">
        <f>M118*VLOOKUP($AA118,'SKOR PPH'!$B$13:$D$21,3,FALSE)</f>
        <v>0</v>
      </c>
      <c r="AH118" s="238">
        <f>N118*VLOOKUP($AA118,'SKOR PPH'!$B$13:$D$21,3,FALSE)</f>
        <v>0</v>
      </c>
      <c r="AI118" s="238">
        <f>O118*VLOOKUP($AA118,'SKOR PPH'!$B$13:$D$21,3,FALSE)</f>
        <v>0</v>
      </c>
      <c r="AJ118" s="238">
        <f>P118*VLOOKUP($AA118,'SKOR PPH'!$B$13:$D$21,3,FALSE)</f>
        <v>0</v>
      </c>
      <c r="AK118" s="238">
        <f>$AD118*VLOOKUP($AA118,'SKOR PPH'!$B$13:$D$21,3,FALSE)</f>
        <v>0</v>
      </c>
      <c r="AL118" s="238">
        <f>R118*VLOOKUP($AA118,'SKOR PPH'!$B$13:$D$21,3,FALSE)</f>
        <v>0</v>
      </c>
      <c r="AM118" s="238">
        <f>S118*VLOOKUP($AA118,'SKOR PPH'!$B$13:$D$21,3,FALSE)</f>
        <v>0</v>
      </c>
      <c r="AN118" s="238">
        <f>T118*VLOOKUP($AA118,'SKOR PPH'!$B$13:$D$21,3,FALSE)</f>
        <v>0</v>
      </c>
      <c r="AO118" s="238">
        <f>U118*VLOOKUP($AA118,'SKOR PPH'!$B$13:$D$21,3,FALSE)</f>
        <v>0</v>
      </c>
      <c r="AP118" s="238">
        <f>$AE118*VLOOKUP($AA118,'SKOR PPH'!$B$13:$D$21,3,FALSE)</f>
        <v>0</v>
      </c>
      <c r="AQ118" s="238">
        <f>W118*VLOOKUP($AA118,'SKOR PPH'!$B$13:$D$21,3,FALSE)</f>
        <v>0</v>
      </c>
      <c r="AR118" s="238">
        <f>X118*VLOOKUP($AA118,'SKOR PPH'!$B$13:$D$21,3,FALSE)</f>
        <v>0</v>
      </c>
      <c r="AS118" s="238">
        <f>Y118*VLOOKUP($AA118,'SKOR PPH'!$B$13:$D$21,3,FALSE)</f>
        <v>0</v>
      </c>
      <c r="AT118" s="238">
        <f>Z118*VLOOKUP($AA118,'SKOR PPH'!$B$13:$D$21,3,FALSE)</f>
        <v>0</v>
      </c>
      <c r="AU118" s="238">
        <f>$AF118*VLOOKUP($AA118,'SKOR PPH'!$B$13:$D$21,3,FALSE)</f>
        <v>0</v>
      </c>
    </row>
    <row r="119" spans="2:47" ht="15" customHeight="1" x14ac:dyDescent="0.2">
      <c r="B119" s="199" t="s">
        <v>76</v>
      </c>
      <c r="C119" s="207">
        <v>1000</v>
      </c>
      <c r="D119" s="149">
        <v>635.1</v>
      </c>
      <c r="E119" s="243">
        <v>59.16</v>
      </c>
      <c r="F119" s="149">
        <v>10.44</v>
      </c>
      <c r="G119" s="261">
        <v>113.1</v>
      </c>
      <c r="H119" s="208" t="s">
        <v>200</v>
      </c>
      <c r="I119" s="311">
        <v>2.2871012551174161E-3</v>
      </c>
      <c r="J119" s="311">
        <v>3.8956516620430655E-2</v>
      </c>
      <c r="K119" s="311">
        <v>4.1243617875548068E-2</v>
      </c>
      <c r="L119" s="144">
        <f t="shared" si="174"/>
        <v>0.32672875073105939</v>
      </c>
      <c r="M119" s="144">
        <f t="shared" si="175"/>
        <v>0.20750542958929588</v>
      </c>
      <c r="N119" s="144">
        <f t="shared" si="176"/>
        <v>1.9329272893249476E-2</v>
      </c>
      <c r="O119" s="144">
        <f t="shared" si="177"/>
        <v>3.4110481576322604E-3</v>
      </c>
      <c r="P119" s="144">
        <f t="shared" si="178"/>
        <v>3.6953021707682825E-2</v>
      </c>
      <c r="Q119" s="144">
        <f t="shared" si="179"/>
        <v>5.5652166600615223</v>
      </c>
      <c r="R119" s="144">
        <f t="shared" si="180"/>
        <v>3.5344691008050728</v>
      </c>
      <c r="S119" s="144">
        <f t="shared" si="181"/>
        <v>0.32923821760923966</v>
      </c>
      <c r="T119" s="144">
        <f t="shared" si="182"/>
        <v>5.8100861931042289E-2</v>
      </c>
      <c r="U119" s="144">
        <f t="shared" si="183"/>
        <v>0.62942600425295814</v>
      </c>
      <c r="V119" s="338">
        <f t="shared" si="184"/>
        <v>5.8919454107925811</v>
      </c>
      <c r="W119" s="338">
        <f t="shared" si="185"/>
        <v>3.7419745303943683</v>
      </c>
      <c r="X119" s="338">
        <f t="shared" si="186"/>
        <v>0.34856749050248909</v>
      </c>
      <c r="Y119" s="338">
        <f t="shared" si="187"/>
        <v>6.151191008867455E-2</v>
      </c>
      <c r="Z119" s="338">
        <f t="shared" si="188"/>
        <v>0.66637902596064091</v>
      </c>
      <c r="AA119" s="199">
        <v>8</v>
      </c>
      <c r="AB119" s="176">
        <v>25</v>
      </c>
      <c r="AC119" s="177">
        <v>1</v>
      </c>
      <c r="AD119" s="238">
        <f t="shared" si="189"/>
        <v>0.32672875073105939</v>
      </c>
      <c r="AE119" s="238">
        <f t="shared" si="190"/>
        <v>5.5652166600615223</v>
      </c>
      <c r="AF119" s="238">
        <f t="shared" si="191"/>
        <v>5.8919454107925811</v>
      </c>
      <c r="AG119" s="238">
        <f>M119*VLOOKUP($AA119,'SKOR PPH'!$B$13:$D$21,3,FALSE)</f>
        <v>0.29150362748704284</v>
      </c>
      <c r="AH119" s="238">
        <f>N119*VLOOKUP($AA119,'SKOR PPH'!$B$13:$D$21,3,FALSE)</f>
        <v>2.7153762560436865E-2</v>
      </c>
      <c r="AI119" s="238">
        <f>O119*VLOOKUP($AA119,'SKOR PPH'!$B$13:$D$21,3,FALSE)</f>
        <v>4.7918404518417996E-3</v>
      </c>
      <c r="AJ119" s="238">
        <f>P119*VLOOKUP($AA119,'SKOR PPH'!$B$13:$D$21,3,FALSE)</f>
        <v>5.1911604894952834E-2</v>
      </c>
      <c r="AK119" s="238">
        <f>$AD119*VLOOKUP($AA119,'SKOR PPH'!$B$13:$D$21,3,FALSE)</f>
        <v>0.45898854902699227</v>
      </c>
      <c r="AL119" s="238">
        <f>R119*VLOOKUP($AA119,'SKOR PPH'!$B$13:$D$21,3,FALSE)</f>
        <v>4.9652221928109661</v>
      </c>
      <c r="AM119" s="238">
        <f>S119*VLOOKUP($AA119,'SKOR PPH'!$B$13:$D$21,3,FALSE)</f>
        <v>0.46251384809745988</v>
      </c>
      <c r="AN119" s="238">
        <f>T119*VLOOKUP($AA119,'SKOR PPH'!$B$13:$D$21,3,FALSE)</f>
        <v>8.1620090840728216E-2</v>
      </c>
      <c r="AO119" s="238">
        <f>U119*VLOOKUP($AA119,'SKOR PPH'!$B$13:$D$21,3,FALSE)</f>
        <v>0.88421765077455561</v>
      </c>
      <c r="AP119" s="238">
        <f>$AE119*VLOOKUP($AA119,'SKOR PPH'!$B$13:$D$21,3,FALSE)</f>
        <v>7.8180163640544267</v>
      </c>
      <c r="AQ119" s="238">
        <f>W119*VLOOKUP($AA119,'SKOR PPH'!$B$13:$D$21,3,FALSE)</f>
        <v>5.2567258202980085</v>
      </c>
      <c r="AR119" s="238">
        <f>X119*VLOOKUP($AA119,'SKOR PPH'!$B$13:$D$21,3,FALSE)</f>
        <v>0.48966761065789666</v>
      </c>
      <c r="AS119" s="238">
        <f>Y119*VLOOKUP($AA119,'SKOR PPH'!$B$13:$D$21,3,FALSE)</f>
        <v>8.6411931292570007E-2</v>
      </c>
      <c r="AT119" s="238">
        <f>Z119*VLOOKUP($AA119,'SKOR PPH'!$B$13:$D$21,3,FALSE)</f>
        <v>0.93612925566950844</v>
      </c>
      <c r="AU119" s="238">
        <f>$AF119*VLOOKUP($AA119,'SKOR PPH'!$B$13:$D$21,3,FALSE)</f>
        <v>8.2770049130814183</v>
      </c>
    </row>
    <row r="120" spans="2:47" ht="15" customHeight="1" x14ac:dyDescent="0.2">
      <c r="B120" s="199" t="s">
        <v>77</v>
      </c>
      <c r="C120" s="207">
        <v>1000</v>
      </c>
      <c r="D120" s="149">
        <v>373.1</v>
      </c>
      <c r="E120" s="243">
        <v>15.32</v>
      </c>
      <c r="F120" s="149">
        <v>5.88</v>
      </c>
      <c r="G120" s="261">
        <v>71.44</v>
      </c>
      <c r="H120" s="208" t="s">
        <v>200</v>
      </c>
      <c r="I120" s="311">
        <v>3.2385018203252092E-3</v>
      </c>
      <c r="J120" s="311">
        <v>5.3449050370991083E-2</v>
      </c>
      <c r="K120" s="311">
        <v>5.6687552191316257E-2</v>
      </c>
      <c r="L120" s="144">
        <f t="shared" si="174"/>
        <v>0.46264311718931561</v>
      </c>
      <c r="M120" s="144">
        <f t="shared" si="175"/>
        <v>0.17261214702333366</v>
      </c>
      <c r="N120" s="144">
        <f t="shared" si="176"/>
        <v>7.087692555340315E-3</v>
      </c>
      <c r="O120" s="144">
        <f t="shared" si="177"/>
        <v>2.7203415290731757E-3</v>
      </c>
      <c r="P120" s="144">
        <f t="shared" si="178"/>
        <v>3.3051224292004702E-2</v>
      </c>
      <c r="Q120" s="144">
        <f t="shared" si="179"/>
        <v>7.6355786244272972</v>
      </c>
      <c r="R120" s="144">
        <f t="shared" si="180"/>
        <v>2.8488343847738249</v>
      </c>
      <c r="S120" s="144">
        <f t="shared" si="181"/>
        <v>0.11697706452622621</v>
      </c>
      <c r="T120" s="144">
        <f t="shared" si="182"/>
        <v>4.4897202311632509E-2</v>
      </c>
      <c r="U120" s="144">
        <f t="shared" si="183"/>
        <v>0.54548573692908608</v>
      </c>
      <c r="V120" s="338">
        <f t="shared" si="184"/>
        <v>8.0982217416166087</v>
      </c>
      <c r="W120" s="338">
        <f t="shared" si="185"/>
        <v>3.0214465317971566</v>
      </c>
      <c r="X120" s="338">
        <f t="shared" si="186"/>
        <v>0.12406475708156643</v>
      </c>
      <c r="Y120" s="338">
        <f t="shared" si="187"/>
        <v>4.7617543840705656E-2</v>
      </c>
      <c r="Z120" s="338">
        <f t="shared" si="188"/>
        <v>0.57853696122109055</v>
      </c>
      <c r="AA120" s="199">
        <v>8</v>
      </c>
      <c r="AB120" s="176">
        <v>25</v>
      </c>
      <c r="AC120" s="177">
        <v>1</v>
      </c>
      <c r="AD120" s="238">
        <f t="shared" si="189"/>
        <v>0.46264311718931561</v>
      </c>
      <c r="AE120" s="238">
        <f t="shared" si="190"/>
        <v>7.6355786244272972</v>
      </c>
      <c r="AF120" s="238">
        <f t="shared" si="191"/>
        <v>8.0982217416166087</v>
      </c>
      <c r="AG120" s="238">
        <f>M120*VLOOKUP($AA120,'SKOR PPH'!$B$13:$D$21,3,FALSE)</f>
        <v>0.24248554413837914</v>
      </c>
      <c r="AH120" s="238">
        <f>N120*VLOOKUP($AA120,'SKOR PPH'!$B$13:$D$21,3,FALSE)</f>
        <v>9.9567905017420751E-3</v>
      </c>
      <c r="AI120" s="238">
        <f>O120*VLOOKUP($AA120,'SKOR PPH'!$B$13:$D$21,3,FALSE)</f>
        <v>3.8215357800419972E-3</v>
      </c>
      <c r="AJ120" s="238">
        <f>P120*VLOOKUP($AA120,'SKOR PPH'!$B$13:$D$21,3,FALSE)</f>
        <v>4.6430359885408209E-2</v>
      </c>
      <c r="AK120" s="238">
        <f>$AD120*VLOOKUP($AA120,'SKOR PPH'!$B$13:$D$21,3,FALSE)</f>
        <v>0.6499210510275506</v>
      </c>
      <c r="AL120" s="238">
        <f>R120*VLOOKUP($AA120,'SKOR PPH'!$B$13:$D$21,3,FALSE)</f>
        <v>4.0020425437302691</v>
      </c>
      <c r="AM120" s="238">
        <f>S120*VLOOKUP($AA120,'SKOR PPH'!$B$13:$D$21,3,FALSE)</f>
        <v>0.16432938024644259</v>
      </c>
      <c r="AN120" s="238">
        <f>T120*VLOOKUP($AA120,'SKOR PPH'!$B$13:$D$21,3,FALSE)</f>
        <v>6.3071589807381354E-2</v>
      </c>
      <c r="AO120" s="238">
        <f>U120*VLOOKUP($AA120,'SKOR PPH'!$B$13:$D$21,3,FALSE)</f>
        <v>0.76629836323798017</v>
      </c>
      <c r="AP120" s="238">
        <f>$AE120*VLOOKUP($AA120,'SKOR PPH'!$B$13:$D$21,3,FALSE)</f>
        <v>10.726460851595467</v>
      </c>
      <c r="AQ120" s="238">
        <f>W120*VLOOKUP($AA120,'SKOR PPH'!$B$13:$D$21,3,FALSE)</f>
        <v>4.2445280878686455</v>
      </c>
      <c r="AR120" s="238">
        <f>X120*VLOOKUP($AA120,'SKOR PPH'!$B$13:$D$21,3,FALSE)</f>
        <v>0.17428617074818453</v>
      </c>
      <c r="AS120" s="238">
        <f>Y120*VLOOKUP($AA120,'SKOR PPH'!$B$13:$D$21,3,FALSE)</f>
        <v>6.6893125587423302E-2</v>
      </c>
      <c r="AT120" s="238">
        <f>Z120*VLOOKUP($AA120,'SKOR PPH'!$B$13:$D$21,3,FALSE)</f>
        <v>0.81272872312338806</v>
      </c>
      <c r="AU120" s="238">
        <f>$AF120*VLOOKUP($AA120,'SKOR PPH'!$B$13:$D$21,3,FALSE)</f>
        <v>11.376381902623013</v>
      </c>
    </row>
    <row r="121" spans="2:47" ht="15" customHeight="1" x14ac:dyDescent="0.2">
      <c r="B121" s="199" t="s">
        <v>78</v>
      </c>
      <c r="C121" s="207">
        <v>1000</v>
      </c>
      <c r="D121" s="149">
        <v>340</v>
      </c>
      <c r="E121" s="243">
        <v>37</v>
      </c>
      <c r="F121" s="149">
        <v>12</v>
      </c>
      <c r="G121" s="261">
        <v>43</v>
      </c>
      <c r="H121" s="208" t="s">
        <v>200</v>
      </c>
      <c r="I121" s="311">
        <v>1.6918806972859961E-3</v>
      </c>
      <c r="J121" s="311">
        <v>1.6470538591024788E-2</v>
      </c>
      <c r="K121" s="311">
        <v>1.8162419288310777E-2</v>
      </c>
      <c r="L121" s="144">
        <f t="shared" si="174"/>
        <v>0.241697242469428</v>
      </c>
      <c r="M121" s="144">
        <f t="shared" si="175"/>
        <v>8.2177062439605528E-2</v>
      </c>
      <c r="N121" s="144">
        <f t="shared" si="176"/>
        <v>8.9427979713688367E-3</v>
      </c>
      <c r="O121" s="144">
        <f t="shared" si="177"/>
        <v>2.9003669096331363E-3</v>
      </c>
      <c r="P121" s="144">
        <f t="shared" si="178"/>
        <v>1.0392981426185404E-2</v>
      </c>
      <c r="Q121" s="144">
        <f t="shared" si="179"/>
        <v>2.3529340844321127</v>
      </c>
      <c r="R121" s="144">
        <f t="shared" si="180"/>
        <v>0.79999758870691828</v>
      </c>
      <c r="S121" s="144">
        <f t="shared" si="181"/>
        <v>8.705856112398816E-2</v>
      </c>
      <c r="T121" s="144">
        <f t="shared" si="182"/>
        <v>2.8235209013185349E-2</v>
      </c>
      <c r="U121" s="144">
        <f t="shared" si="183"/>
        <v>0.10117616563058084</v>
      </c>
      <c r="V121" s="338">
        <f t="shared" si="184"/>
        <v>2.5946313269015393</v>
      </c>
      <c r="W121" s="338">
        <f t="shared" si="185"/>
        <v>0.88217465114652349</v>
      </c>
      <c r="X121" s="338">
        <f t="shared" si="186"/>
        <v>9.6001359095356967E-2</v>
      </c>
      <c r="Y121" s="338">
        <f t="shared" si="187"/>
        <v>3.1135575922818477E-2</v>
      </c>
      <c r="Z121" s="338">
        <f t="shared" si="188"/>
        <v>0.11156914705676621</v>
      </c>
      <c r="AA121" s="199">
        <v>8</v>
      </c>
      <c r="AB121" s="176">
        <v>25</v>
      </c>
      <c r="AC121" s="177">
        <v>1</v>
      </c>
      <c r="AD121" s="238">
        <f t="shared" si="189"/>
        <v>0.241697242469428</v>
      </c>
      <c r="AE121" s="238">
        <f t="shared" si="190"/>
        <v>2.3529340844321127</v>
      </c>
      <c r="AF121" s="238">
        <f t="shared" si="191"/>
        <v>2.5946313269015393</v>
      </c>
      <c r="AG121" s="238">
        <f>M121*VLOOKUP($AA121,'SKOR PPH'!$B$13:$D$21,3,FALSE)</f>
        <v>0.11544233731515785</v>
      </c>
      <c r="AH121" s="238">
        <f>N121*VLOOKUP($AA121,'SKOR PPH'!$B$13:$D$21,3,FALSE)</f>
        <v>1.2562842590178942E-2</v>
      </c>
      <c r="AI121" s="238">
        <f>O121*VLOOKUP($AA121,'SKOR PPH'!$B$13:$D$21,3,FALSE)</f>
        <v>4.0744354346526302E-3</v>
      </c>
      <c r="AJ121" s="238">
        <f>P121*VLOOKUP($AA121,'SKOR PPH'!$B$13:$D$21,3,FALSE)</f>
        <v>1.4600060307505255E-2</v>
      </c>
      <c r="AK121" s="238">
        <f>$AD121*VLOOKUP($AA121,'SKOR PPH'!$B$13:$D$21,3,FALSE)</f>
        <v>0.33953628622105247</v>
      </c>
      <c r="AL121" s="238">
        <f>R121*VLOOKUP($AA121,'SKOR PPH'!$B$13:$D$21,3,FALSE)</f>
        <v>1.1238366126154788</v>
      </c>
      <c r="AM121" s="238">
        <f>S121*VLOOKUP($AA121,'SKOR PPH'!$B$13:$D$21,3,FALSE)</f>
        <v>0.12229986666697858</v>
      </c>
      <c r="AN121" s="238">
        <f>T121*VLOOKUP($AA121,'SKOR PPH'!$B$13:$D$21,3,FALSE)</f>
        <v>3.966482162172278E-2</v>
      </c>
      <c r="AO121" s="238">
        <f>U121*VLOOKUP($AA121,'SKOR PPH'!$B$13:$D$21,3,FALSE)</f>
        <v>0.14213227747783996</v>
      </c>
      <c r="AP121" s="238">
        <f>$AE121*VLOOKUP($AA121,'SKOR PPH'!$B$13:$D$21,3,FALSE)</f>
        <v>3.3054018018102322</v>
      </c>
      <c r="AQ121" s="238">
        <f>W121*VLOOKUP($AA121,'SKOR PPH'!$B$13:$D$21,3,FALSE)</f>
        <v>1.2392789499306363</v>
      </c>
      <c r="AR121" s="238">
        <f>X121*VLOOKUP($AA121,'SKOR PPH'!$B$13:$D$21,3,FALSE)</f>
        <v>0.13486270925715746</v>
      </c>
      <c r="AS121" s="238">
        <f>Y121*VLOOKUP($AA121,'SKOR PPH'!$B$13:$D$21,3,FALSE)</f>
        <v>4.3739257056375394E-2</v>
      </c>
      <c r="AT121" s="238">
        <f>Z121*VLOOKUP($AA121,'SKOR PPH'!$B$13:$D$21,3,FALSE)</f>
        <v>0.15673233778534518</v>
      </c>
      <c r="AU121" s="238">
        <f>$AF121*VLOOKUP($AA121,'SKOR PPH'!$B$13:$D$21,3,FALSE)</f>
        <v>3.6449380880312825</v>
      </c>
    </row>
    <row r="122" spans="2:47" ht="15" customHeight="1" x14ac:dyDescent="0.2">
      <c r="B122" s="199" t="s">
        <v>79</v>
      </c>
      <c r="C122" s="207">
        <v>1000</v>
      </c>
      <c r="D122" s="149">
        <v>191.7</v>
      </c>
      <c r="E122" s="243">
        <v>6.08</v>
      </c>
      <c r="F122" s="149">
        <v>1.58</v>
      </c>
      <c r="G122" s="261">
        <v>45.61</v>
      </c>
      <c r="H122" s="208" t="s">
        <v>200</v>
      </c>
      <c r="I122" s="311">
        <v>0</v>
      </c>
      <c r="J122" s="311">
        <v>0</v>
      </c>
      <c r="K122" s="311">
        <v>0</v>
      </c>
      <c r="L122" s="144">
        <f t="shared" si="174"/>
        <v>0</v>
      </c>
      <c r="M122" s="144">
        <f t="shared" si="175"/>
        <v>0</v>
      </c>
      <c r="N122" s="144">
        <f t="shared" si="176"/>
        <v>0</v>
      </c>
      <c r="O122" s="144">
        <f t="shared" si="177"/>
        <v>0</v>
      </c>
      <c r="P122" s="144">
        <f t="shared" si="178"/>
        <v>0</v>
      </c>
      <c r="Q122" s="144">
        <f t="shared" si="179"/>
        <v>0</v>
      </c>
      <c r="R122" s="144">
        <f t="shared" si="180"/>
        <v>0</v>
      </c>
      <c r="S122" s="144">
        <f t="shared" si="181"/>
        <v>0</v>
      </c>
      <c r="T122" s="144">
        <f t="shared" si="182"/>
        <v>0</v>
      </c>
      <c r="U122" s="144">
        <f t="shared" si="183"/>
        <v>0</v>
      </c>
      <c r="V122" s="338">
        <f t="shared" si="184"/>
        <v>0</v>
      </c>
      <c r="W122" s="338">
        <f t="shared" si="185"/>
        <v>0</v>
      </c>
      <c r="X122" s="338">
        <f t="shared" si="186"/>
        <v>0</v>
      </c>
      <c r="Y122" s="338">
        <f t="shared" si="187"/>
        <v>0</v>
      </c>
      <c r="Z122" s="338">
        <f t="shared" si="188"/>
        <v>0</v>
      </c>
      <c r="AA122" s="199">
        <v>8</v>
      </c>
      <c r="AB122" s="176">
        <v>25</v>
      </c>
      <c r="AC122" s="177">
        <v>1</v>
      </c>
      <c r="AD122" s="238">
        <f t="shared" si="189"/>
        <v>0</v>
      </c>
      <c r="AE122" s="238">
        <f t="shared" si="190"/>
        <v>0</v>
      </c>
      <c r="AF122" s="238">
        <f t="shared" si="191"/>
        <v>0</v>
      </c>
      <c r="AG122" s="238">
        <f>M122*VLOOKUP($AA122,'SKOR PPH'!$B$13:$D$21,3,FALSE)</f>
        <v>0</v>
      </c>
      <c r="AH122" s="238">
        <f>N122*VLOOKUP($AA122,'SKOR PPH'!$B$13:$D$21,3,FALSE)</f>
        <v>0</v>
      </c>
      <c r="AI122" s="238">
        <f>O122*VLOOKUP($AA122,'SKOR PPH'!$B$13:$D$21,3,FALSE)</f>
        <v>0</v>
      </c>
      <c r="AJ122" s="238">
        <f>P122*VLOOKUP($AA122,'SKOR PPH'!$B$13:$D$21,3,FALSE)</f>
        <v>0</v>
      </c>
      <c r="AK122" s="238">
        <f>$AD122*VLOOKUP($AA122,'SKOR PPH'!$B$13:$D$21,3,FALSE)</f>
        <v>0</v>
      </c>
      <c r="AL122" s="238">
        <f>R122*VLOOKUP($AA122,'SKOR PPH'!$B$13:$D$21,3,FALSE)</f>
        <v>0</v>
      </c>
      <c r="AM122" s="238">
        <f>S122*VLOOKUP($AA122,'SKOR PPH'!$B$13:$D$21,3,FALSE)</f>
        <v>0</v>
      </c>
      <c r="AN122" s="238">
        <f>T122*VLOOKUP($AA122,'SKOR PPH'!$B$13:$D$21,3,FALSE)</f>
        <v>0</v>
      </c>
      <c r="AO122" s="238">
        <f>U122*VLOOKUP($AA122,'SKOR PPH'!$B$13:$D$21,3,FALSE)</f>
        <v>0</v>
      </c>
      <c r="AP122" s="238">
        <f>$AE122*VLOOKUP($AA122,'SKOR PPH'!$B$13:$D$21,3,FALSE)</f>
        <v>0</v>
      </c>
      <c r="AQ122" s="238">
        <f>W122*VLOOKUP($AA122,'SKOR PPH'!$B$13:$D$21,3,FALSE)</f>
        <v>0</v>
      </c>
      <c r="AR122" s="238">
        <f>X122*VLOOKUP($AA122,'SKOR PPH'!$B$13:$D$21,3,FALSE)</f>
        <v>0</v>
      </c>
      <c r="AS122" s="238">
        <f>Y122*VLOOKUP($AA122,'SKOR PPH'!$B$13:$D$21,3,FALSE)</f>
        <v>0</v>
      </c>
      <c r="AT122" s="238">
        <f>Z122*VLOOKUP($AA122,'SKOR PPH'!$B$13:$D$21,3,FALSE)</f>
        <v>0</v>
      </c>
      <c r="AU122" s="238">
        <f>$AF122*VLOOKUP($AA122,'SKOR PPH'!$B$13:$D$21,3,FALSE)</f>
        <v>0</v>
      </c>
    </row>
    <row r="123" spans="2:47" ht="15" customHeight="1" x14ac:dyDescent="0.2">
      <c r="B123" s="199" t="s">
        <v>80</v>
      </c>
      <c r="C123" s="207">
        <v>100</v>
      </c>
      <c r="D123" s="149">
        <v>33</v>
      </c>
      <c r="E123" s="243">
        <v>2.2000000000000002</v>
      </c>
      <c r="F123" s="149">
        <v>0.1</v>
      </c>
      <c r="G123" s="261">
        <v>7.4</v>
      </c>
      <c r="H123" s="208" t="s">
        <v>36</v>
      </c>
      <c r="I123" s="311">
        <v>0</v>
      </c>
      <c r="J123" s="311">
        <v>0</v>
      </c>
      <c r="K123" s="311">
        <v>0</v>
      </c>
      <c r="L123" s="144">
        <f t="shared" si="174"/>
        <v>0</v>
      </c>
      <c r="M123" s="144">
        <f t="shared" si="175"/>
        <v>0</v>
      </c>
      <c r="N123" s="144">
        <f t="shared" si="176"/>
        <v>0</v>
      </c>
      <c r="O123" s="144">
        <f t="shared" si="177"/>
        <v>0</v>
      </c>
      <c r="P123" s="144">
        <f t="shared" si="178"/>
        <v>0</v>
      </c>
      <c r="Q123" s="144">
        <f t="shared" si="179"/>
        <v>0</v>
      </c>
      <c r="R123" s="144">
        <f t="shared" si="180"/>
        <v>0</v>
      </c>
      <c r="S123" s="144">
        <f t="shared" si="181"/>
        <v>0</v>
      </c>
      <c r="T123" s="144">
        <f t="shared" si="182"/>
        <v>0</v>
      </c>
      <c r="U123" s="144">
        <f t="shared" si="183"/>
        <v>0</v>
      </c>
      <c r="V123" s="338">
        <f t="shared" si="184"/>
        <v>0</v>
      </c>
      <c r="W123" s="338">
        <f t="shared" si="185"/>
        <v>0</v>
      </c>
      <c r="X123" s="338">
        <f t="shared" si="186"/>
        <v>0</v>
      </c>
      <c r="Y123" s="338">
        <f t="shared" si="187"/>
        <v>0</v>
      </c>
      <c r="Z123" s="338">
        <f t="shared" si="188"/>
        <v>0</v>
      </c>
      <c r="AA123" s="199">
        <v>8</v>
      </c>
      <c r="AB123" s="176">
        <v>25</v>
      </c>
      <c r="AC123" s="177">
        <v>1</v>
      </c>
      <c r="AD123" s="238">
        <f t="shared" si="189"/>
        <v>0</v>
      </c>
      <c r="AE123" s="238">
        <f t="shared" si="190"/>
        <v>0</v>
      </c>
      <c r="AF123" s="238">
        <f t="shared" si="191"/>
        <v>0</v>
      </c>
      <c r="AG123" s="238">
        <f>M123*VLOOKUP($AA123,'SKOR PPH'!$B$13:$D$21,3,FALSE)</f>
        <v>0</v>
      </c>
      <c r="AH123" s="238">
        <f>N123*VLOOKUP($AA123,'SKOR PPH'!$B$13:$D$21,3,FALSE)</f>
        <v>0</v>
      </c>
      <c r="AI123" s="238">
        <f>O123*VLOOKUP($AA123,'SKOR PPH'!$B$13:$D$21,3,FALSE)</f>
        <v>0</v>
      </c>
      <c r="AJ123" s="238">
        <f>P123*VLOOKUP($AA123,'SKOR PPH'!$B$13:$D$21,3,FALSE)</f>
        <v>0</v>
      </c>
      <c r="AK123" s="238">
        <f>$AD123*VLOOKUP($AA123,'SKOR PPH'!$B$13:$D$21,3,FALSE)</f>
        <v>0</v>
      </c>
      <c r="AL123" s="238">
        <f>R123*VLOOKUP($AA123,'SKOR PPH'!$B$13:$D$21,3,FALSE)</f>
        <v>0</v>
      </c>
      <c r="AM123" s="238">
        <f>S123*VLOOKUP($AA123,'SKOR PPH'!$B$13:$D$21,3,FALSE)</f>
        <v>0</v>
      </c>
      <c r="AN123" s="238">
        <f>T123*VLOOKUP($AA123,'SKOR PPH'!$B$13:$D$21,3,FALSE)</f>
        <v>0</v>
      </c>
      <c r="AO123" s="238">
        <f>U123*VLOOKUP($AA123,'SKOR PPH'!$B$13:$D$21,3,FALSE)</f>
        <v>0</v>
      </c>
      <c r="AP123" s="238">
        <f>$AE123*VLOOKUP($AA123,'SKOR PPH'!$B$13:$D$21,3,FALSE)</f>
        <v>0</v>
      </c>
      <c r="AQ123" s="238">
        <f>W123*VLOOKUP($AA123,'SKOR PPH'!$B$13:$D$21,3,FALSE)</f>
        <v>0</v>
      </c>
      <c r="AR123" s="238">
        <f>X123*VLOOKUP($AA123,'SKOR PPH'!$B$13:$D$21,3,FALSE)</f>
        <v>0</v>
      </c>
      <c r="AS123" s="238">
        <f>Y123*VLOOKUP($AA123,'SKOR PPH'!$B$13:$D$21,3,FALSE)</f>
        <v>0</v>
      </c>
      <c r="AT123" s="238">
        <f>Z123*VLOOKUP($AA123,'SKOR PPH'!$B$13:$D$21,3,FALSE)</f>
        <v>0</v>
      </c>
      <c r="AU123" s="238">
        <f>$AF123*VLOOKUP($AA123,'SKOR PPH'!$B$13:$D$21,3,FALSE)</f>
        <v>0</v>
      </c>
    </row>
    <row r="124" spans="2:47" ht="15" customHeight="1" x14ac:dyDescent="0.2">
      <c r="B124" s="199" t="s">
        <v>81</v>
      </c>
      <c r="C124" s="213">
        <v>500</v>
      </c>
      <c r="D124" s="149">
        <v>67.5</v>
      </c>
      <c r="E124" s="243">
        <v>3.25</v>
      </c>
      <c r="F124" s="149">
        <v>5</v>
      </c>
      <c r="G124" s="261">
        <v>2.5</v>
      </c>
      <c r="H124" s="208" t="s">
        <v>82</v>
      </c>
      <c r="I124" s="311">
        <v>3.5824738947148763E-4</v>
      </c>
      <c r="J124" s="311">
        <v>1.8091603812636578E-3</v>
      </c>
      <c r="K124" s="311">
        <v>2.1674077707351451E-3</v>
      </c>
      <c r="L124" s="144">
        <f t="shared" si="174"/>
        <v>2.5589099247963404E-2</v>
      </c>
      <c r="M124" s="144">
        <f t="shared" si="175"/>
        <v>3.4545283984750595E-3</v>
      </c>
      <c r="N124" s="144">
        <f t="shared" si="176"/>
        <v>1.663291451117621E-4</v>
      </c>
      <c r="O124" s="144">
        <f t="shared" si="177"/>
        <v>2.55890992479634E-4</v>
      </c>
      <c r="P124" s="144">
        <f t="shared" si="178"/>
        <v>1.27945496239817E-4</v>
      </c>
      <c r="Q124" s="144">
        <f t="shared" si="179"/>
        <v>0.1292257415188327</v>
      </c>
      <c r="R124" s="144">
        <f t="shared" si="180"/>
        <v>1.7445475105042414E-2</v>
      </c>
      <c r="S124" s="144">
        <f t="shared" si="181"/>
        <v>8.3996731987241258E-4</v>
      </c>
      <c r="T124" s="144">
        <f t="shared" si="182"/>
        <v>1.2922574151883269E-3</v>
      </c>
      <c r="U124" s="144">
        <f t="shared" si="183"/>
        <v>6.4612870759416343E-4</v>
      </c>
      <c r="V124" s="338">
        <f t="shared" si="184"/>
        <v>0.15481484076679605</v>
      </c>
      <c r="W124" s="338">
        <f t="shared" si="185"/>
        <v>2.0900003503517471E-2</v>
      </c>
      <c r="X124" s="338">
        <f t="shared" si="186"/>
        <v>1.0062964649841745E-3</v>
      </c>
      <c r="Y124" s="338">
        <f t="shared" si="187"/>
        <v>1.5481484076679609E-3</v>
      </c>
      <c r="Z124" s="338">
        <f t="shared" si="188"/>
        <v>7.7407420383398043E-4</v>
      </c>
      <c r="AA124" s="199">
        <v>8</v>
      </c>
      <c r="AB124" s="176">
        <v>25</v>
      </c>
      <c r="AC124" s="177">
        <v>1</v>
      </c>
      <c r="AD124" s="238">
        <f t="shared" si="189"/>
        <v>2.5589099247963404E-2</v>
      </c>
      <c r="AE124" s="238">
        <f t="shared" si="190"/>
        <v>0.1292257415188327</v>
      </c>
      <c r="AF124" s="238">
        <f t="shared" si="191"/>
        <v>0.15481484076679605</v>
      </c>
      <c r="AG124" s="238">
        <f>M124*VLOOKUP($AA124,'SKOR PPH'!$B$13:$D$21,3,FALSE)</f>
        <v>4.8529214941777634E-3</v>
      </c>
      <c r="AH124" s="238">
        <f>N124*VLOOKUP($AA124,'SKOR PPH'!$B$13:$D$21,3,FALSE)</f>
        <v>2.3365918305300341E-4</v>
      </c>
      <c r="AI124" s="238">
        <f>O124*VLOOKUP($AA124,'SKOR PPH'!$B$13:$D$21,3,FALSE)</f>
        <v>3.5947566623538988E-4</v>
      </c>
      <c r="AJ124" s="238">
        <f>P124*VLOOKUP($AA124,'SKOR PPH'!$B$13:$D$21,3,FALSE)</f>
        <v>1.7973783311769494E-4</v>
      </c>
      <c r="AK124" s="238">
        <f>$AD124*VLOOKUP($AA124,'SKOR PPH'!$B$13:$D$21,3,FALSE)</f>
        <v>3.5947566623538992E-2</v>
      </c>
      <c r="AL124" s="238">
        <f>R124*VLOOKUP($AA124,'SKOR PPH'!$B$13:$D$21,3,FALSE)</f>
        <v>2.4507403427563586E-2</v>
      </c>
      <c r="AM124" s="238">
        <f>S124*VLOOKUP($AA124,'SKOR PPH'!$B$13:$D$21,3,FALSE)</f>
        <v>1.1799860909567652E-3</v>
      </c>
      <c r="AN124" s="238">
        <f>T124*VLOOKUP($AA124,'SKOR PPH'!$B$13:$D$21,3,FALSE)</f>
        <v>1.8153632168565615E-3</v>
      </c>
      <c r="AO124" s="238">
        <f>U124*VLOOKUP($AA124,'SKOR PPH'!$B$13:$D$21,3,FALSE)</f>
        <v>9.0768160842828077E-4</v>
      </c>
      <c r="AP124" s="238">
        <f>$AE124*VLOOKUP($AA124,'SKOR PPH'!$B$13:$D$21,3,FALSE)</f>
        <v>0.1815363216856562</v>
      </c>
      <c r="AQ124" s="238">
        <f>W124*VLOOKUP($AA124,'SKOR PPH'!$B$13:$D$21,3,FALSE)</f>
        <v>2.9360324921741343E-2</v>
      </c>
      <c r="AR124" s="238">
        <f>X124*VLOOKUP($AA124,'SKOR PPH'!$B$13:$D$21,3,FALSE)</f>
        <v>1.4136452740097683E-3</v>
      </c>
      <c r="AS124" s="238">
        <f>Y124*VLOOKUP($AA124,'SKOR PPH'!$B$13:$D$21,3,FALSE)</f>
        <v>2.1748388830919517E-3</v>
      </c>
      <c r="AT124" s="238">
        <f>Z124*VLOOKUP($AA124,'SKOR PPH'!$B$13:$D$21,3,FALSE)</f>
        <v>1.0874194415459758E-3</v>
      </c>
      <c r="AU124" s="238">
        <f>$AF124*VLOOKUP($AA124,'SKOR PPH'!$B$13:$D$21,3,FALSE)</f>
        <v>0.2174838883091951</v>
      </c>
    </row>
    <row r="125" spans="2:47" ht="15" customHeight="1" x14ac:dyDescent="0.2">
      <c r="B125" s="199" t="s">
        <v>83</v>
      </c>
      <c r="C125" s="212">
        <v>600</v>
      </c>
      <c r="D125" s="149">
        <v>116</v>
      </c>
      <c r="E125" s="243">
        <v>2.8</v>
      </c>
      <c r="F125" s="149">
        <v>2.4</v>
      </c>
      <c r="G125" s="261">
        <v>20</v>
      </c>
      <c r="H125" s="208" t="s">
        <v>82</v>
      </c>
      <c r="I125" s="311">
        <v>0</v>
      </c>
      <c r="J125" s="311">
        <v>0</v>
      </c>
      <c r="K125" s="311">
        <v>0</v>
      </c>
      <c r="L125" s="144">
        <f t="shared" si="174"/>
        <v>0</v>
      </c>
      <c r="M125" s="144">
        <f t="shared" si="175"/>
        <v>0</v>
      </c>
      <c r="N125" s="144">
        <f t="shared" si="176"/>
        <v>0</v>
      </c>
      <c r="O125" s="144">
        <f t="shared" si="177"/>
        <v>0</v>
      </c>
      <c r="P125" s="144">
        <f t="shared" si="178"/>
        <v>0</v>
      </c>
      <c r="Q125" s="144">
        <f t="shared" si="179"/>
        <v>0</v>
      </c>
      <c r="R125" s="144">
        <f t="shared" si="180"/>
        <v>0</v>
      </c>
      <c r="S125" s="144">
        <f t="shared" si="181"/>
        <v>0</v>
      </c>
      <c r="T125" s="144">
        <f t="shared" si="182"/>
        <v>0</v>
      </c>
      <c r="U125" s="144">
        <f t="shared" si="183"/>
        <v>0</v>
      </c>
      <c r="V125" s="338">
        <f t="shared" si="184"/>
        <v>0</v>
      </c>
      <c r="W125" s="338">
        <f t="shared" si="185"/>
        <v>0</v>
      </c>
      <c r="X125" s="338">
        <f t="shared" si="186"/>
        <v>0</v>
      </c>
      <c r="Y125" s="338">
        <f t="shared" si="187"/>
        <v>0</v>
      </c>
      <c r="Z125" s="338">
        <f t="shared" si="188"/>
        <v>0</v>
      </c>
      <c r="AA125" s="199">
        <v>8</v>
      </c>
      <c r="AB125" s="176">
        <v>25</v>
      </c>
      <c r="AC125" s="177">
        <v>1</v>
      </c>
      <c r="AD125" s="238">
        <f t="shared" si="189"/>
        <v>0</v>
      </c>
      <c r="AE125" s="238">
        <f t="shared" si="190"/>
        <v>0</v>
      </c>
      <c r="AF125" s="238">
        <f t="shared" si="191"/>
        <v>0</v>
      </c>
      <c r="AG125" s="238">
        <f>M125*VLOOKUP($AA125,'SKOR PPH'!$B$13:$D$21,3,FALSE)</f>
        <v>0</v>
      </c>
      <c r="AH125" s="238">
        <f>N125*VLOOKUP($AA125,'SKOR PPH'!$B$13:$D$21,3,FALSE)</f>
        <v>0</v>
      </c>
      <c r="AI125" s="238">
        <f>O125*VLOOKUP($AA125,'SKOR PPH'!$B$13:$D$21,3,FALSE)</f>
        <v>0</v>
      </c>
      <c r="AJ125" s="238">
        <f>P125*VLOOKUP($AA125,'SKOR PPH'!$B$13:$D$21,3,FALSE)</f>
        <v>0</v>
      </c>
      <c r="AK125" s="238">
        <f>$AD125*VLOOKUP($AA125,'SKOR PPH'!$B$13:$D$21,3,FALSE)</f>
        <v>0</v>
      </c>
      <c r="AL125" s="238">
        <f>R125*VLOOKUP($AA125,'SKOR PPH'!$B$13:$D$21,3,FALSE)</f>
        <v>0</v>
      </c>
      <c r="AM125" s="238">
        <f>S125*VLOOKUP($AA125,'SKOR PPH'!$B$13:$D$21,3,FALSE)</f>
        <v>0</v>
      </c>
      <c r="AN125" s="238">
        <f>T125*VLOOKUP($AA125,'SKOR PPH'!$B$13:$D$21,3,FALSE)</f>
        <v>0</v>
      </c>
      <c r="AO125" s="238">
        <f>U125*VLOOKUP($AA125,'SKOR PPH'!$B$13:$D$21,3,FALSE)</f>
        <v>0</v>
      </c>
      <c r="AP125" s="238">
        <f>$AE125*VLOOKUP($AA125,'SKOR PPH'!$B$13:$D$21,3,FALSE)</f>
        <v>0</v>
      </c>
      <c r="AQ125" s="238">
        <f>W125*VLOOKUP($AA125,'SKOR PPH'!$B$13:$D$21,3,FALSE)</f>
        <v>0</v>
      </c>
      <c r="AR125" s="238">
        <f>X125*VLOOKUP($AA125,'SKOR PPH'!$B$13:$D$21,3,FALSE)</f>
        <v>0</v>
      </c>
      <c r="AS125" s="238">
        <f>Y125*VLOOKUP($AA125,'SKOR PPH'!$B$13:$D$21,3,FALSE)</f>
        <v>0</v>
      </c>
      <c r="AT125" s="238">
        <f>Z125*VLOOKUP($AA125,'SKOR PPH'!$B$13:$D$21,3,FALSE)</f>
        <v>0</v>
      </c>
      <c r="AU125" s="238">
        <f>$AF125*VLOOKUP($AA125,'SKOR PPH'!$B$13:$D$21,3,FALSE)</f>
        <v>0</v>
      </c>
    </row>
    <row r="126" spans="2:47" ht="15" customHeight="1" x14ac:dyDescent="0.2">
      <c r="B126" s="199" t="s">
        <v>84</v>
      </c>
      <c r="C126" s="207">
        <v>1000</v>
      </c>
      <c r="D126" s="149">
        <v>408</v>
      </c>
      <c r="E126" s="243">
        <v>16</v>
      </c>
      <c r="F126" s="149">
        <v>3.2</v>
      </c>
      <c r="G126" s="261">
        <v>90.4</v>
      </c>
      <c r="H126" s="208" t="s">
        <v>200</v>
      </c>
      <c r="I126" s="311">
        <v>2.2684171966790939E-4</v>
      </c>
      <c r="J126" s="311">
        <v>6.7214900047230441E-3</v>
      </c>
      <c r="K126" s="311">
        <v>6.9483317243909529E-3</v>
      </c>
      <c r="L126" s="144">
        <f t="shared" si="174"/>
        <v>3.2405959952558482E-2</v>
      </c>
      <c r="M126" s="144">
        <f t="shared" si="175"/>
        <v>1.3221631660643862E-2</v>
      </c>
      <c r="N126" s="144">
        <f t="shared" si="176"/>
        <v>5.1849535924093572E-4</v>
      </c>
      <c r="O126" s="144">
        <f t="shared" si="177"/>
        <v>1.0369907184818716E-4</v>
      </c>
      <c r="P126" s="144">
        <f t="shared" si="178"/>
        <v>2.9294987797112873E-3</v>
      </c>
      <c r="Q126" s="144">
        <f t="shared" si="179"/>
        <v>0.96021285781757781</v>
      </c>
      <c r="R126" s="144">
        <f t="shared" si="180"/>
        <v>0.39176684598957173</v>
      </c>
      <c r="S126" s="144">
        <f t="shared" si="181"/>
        <v>1.5363405725081243E-2</v>
      </c>
      <c r="T126" s="144">
        <f t="shared" si="182"/>
        <v>3.0726811450162489E-3</v>
      </c>
      <c r="U126" s="144">
        <f t="shared" si="183"/>
        <v>8.6803242346709025E-2</v>
      </c>
      <c r="V126" s="338">
        <f t="shared" si="184"/>
        <v>0.99261881777013616</v>
      </c>
      <c r="W126" s="338">
        <f t="shared" si="185"/>
        <v>0.40498847765021556</v>
      </c>
      <c r="X126" s="338">
        <f t="shared" si="186"/>
        <v>1.5881901084322178E-2</v>
      </c>
      <c r="Y126" s="338">
        <f t="shared" si="187"/>
        <v>3.1763802168644356E-3</v>
      </c>
      <c r="Z126" s="338">
        <f t="shared" si="188"/>
        <v>8.973274112642031E-2</v>
      </c>
      <c r="AA126" s="199">
        <v>8</v>
      </c>
      <c r="AB126" s="176">
        <v>25</v>
      </c>
      <c r="AC126" s="177">
        <v>1</v>
      </c>
      <c r="AD126" s="238">
        <f t="shared" si="189"/>
        <v>3.2405959952558482E-2</v>
      </c>
      <c r="AE126" s="238">
        <f t="shared" si="190"/>
        <v>0.96021285781757781</v>
      </c>
      <c r="AF126" s="238">
        <f t="shared" si="191"/>
        <v>0.99261881777013616</v>
      </c>
      <c r="AG126" s="238">
        <f>M126*VLOOKUP($AA126,'SKOR PPH'!$B$13:$D$21,3,FALSE)</f>
        <v>1.8573748156872499E-2</v>
      </c>
      <c r="AH126" s="238">
        <f>N126*VLOOKUP($AA126,'SKOR PPH'!$B$13:$D$21,3,FALSE)</f>
        <v>7.2838228066166651E-4</v>
      </c>
      <c r="AI126" s="238">
        <f>O126*VLOOKUP($AA126,'SKOR PPH'!$B$13:$D$21,3,FALSE)</f>
        <v>1.4567645613233334E-4</v>
      </c>
      <c r="AJ126" s="238">
        <f>P126*VLOOKUP($AA126,'SKOR PPH'!$B$13:$D$21,3,FALSE)</f>
        <v>4.1153598857384165E-3</v>
      </c>
      <c r="AK126" s="238">
        <f>$AD126*VLOOKUP($AA126,'SKOR PPH'!$B$13:$D$21,3,FALSE)</f>
        <v>4.5523892541354159E-2</v>
      </c>
      <c r="AL126" s="238">
        <f>R126*VLOOKUP($AA126,'SKOR PPH'!$B$13:$D$21,3,FALSE)</f>
        <v>0.55035406524615038</v>
      </c>
      <c r="AM126" s="238">
        <f>S126*VLOOKUP($AA126,'SKOR PPH'!$B$13:$D$21,3,FALSE)</f>
        <v>2.158251236259413E-2</v>
      </c>
      <c r="AN126" s="238">
        <f>T126*VLOOKUP($AA126,'SKOR PPH'!$B$13:$D$21,3,FALSE)</f>
        <v>4.3165024725188269E-3</v>
      </c>
      <c r="AO126" s="238">
        <f>U126*VLOOKUP($AA126,'SKOR PPH'!$B$13:$D$21,3,FALSE)</f>
        <v>0.12194119484865684</v>
      </c>
      <c r="AP126" s="238">
        <f>$AE126*VLOOKUP($AA126,'SKOR PPH'!$B$13:$D$21,3,FALSE)</f>
        <v>1.3489070226621334</v>
      </c>
      <c r="AQ126" s="238">
        <f>W126*VLOOKUP($AA126,'SKOR PPH'!$B$13:$D$21,3,FALSE)</f>
        <v>0.56892781340302279</v>
      </c>
      <c r="AR126" s="238">
        <f>X126*VLOOKUP($AA126,'SKOR PPH'!$B$13:$D$21,3,FALSE)</f>
        <v>2.2310894643255797E-2</v>
      </c>
      <c r="AS126" s="238">
        <f>Y126*VLOOKUP($AA126,'SKOR PPH'!$B$13:$D$21,3,FALSE)</f>
        <v>4.4621789286511592E-3</v>
      </c>
      <c r="AT126" s="238">
        <f>Z126*VLOOKUP($AA126,'SKOR PPH'!$B$13:$D$21,3,FALSE)</f>
        <v>0.12605655473439525</v>
      </c>
      <c r="AU126" s="238">
        <f>$AF126*VLOOKUP($AA126,'SKOR PPH'!$B$13:$D$21,3,FALSE)</f>
        <v>1.3944309152034873</v>
      </c>
    </row>
    <row r="127" spans="2:47" ht="15" customHeight="1" x14ac:dyDescent="0.2">
      <c r="B127" s="199" t="s">
        <v>85</v>
      </c>
      <c r="C127" s="207">
        <v>1000</v>
      </c>
      <c r="D127" s="149">
        <v>197.6</v>
      </c>
      <c r="E127" s="243">
        <v>15.96</v>
      </c>
      <c r="F127" s="149">
        <v>0.76</v>
      </c>
      <c r="G127" s="261">
        <v>37.24</v>
      </c>
      <c r="H127" s="208" t="s">
        <v>200</v>
      </c>
      <c r="I127" s="311">
        <v>0</v>
      </c>
      <c r="J127" s="311">
        <v>0</v>
      </c>
      <c r="K127" s="311">
        <v>0</v>
      </c>
      <c r="L127" s="144">
        <f t="shared" si="174"/>
        <v>0</v>
      </c>
      <c r="M127" s="144">
        <f t="shared" si="175"/>
        <v>0</v>
      </c>
      <c r="N127" s="144">
        <f t="shared" si="176"/>
        <v>0</v>
      </c>
      <c r="O127" s="144">
        <f t="shared" si="177"/>
        <v>0</v>
      </c>
      <c r="P127" s="144">
        <f t="shared" si="178"/>
        <v>0</v>
      </c>
      <c r="Q127" s="144">
        <f t="shared" si="179"/>
        <v>0</v>
      </c>
      <c r="R127" s="144">
        <f t="shared" si="180"/>
        <v>0</v>
      </c>
      <c r="S127" s="144">
        <f t="shared" si="181"/>
        <v>0</v>
      </c>
      <c r="T127" s="144">
        <f t="shared" si="182"/>
        <v>0</v>
      </c>
      <c r="U127" s="144">
        <f t="shared" si="183"/>
        <v>0</v>
      </c>
      <c r="V127" s="338">
        <f t="shared" si="184"/>
        <v>0</v>
      </c>
      <c r="W127" s="338">
        <f t="shared" si="185"/>
        <v>0</v>
      </c>
      <c r="X127" s="338">
        <f t="shared" si="186"/>
        <v>0</v>
      </c>
      <c r="Y127" s="338">
        <f t="shared" si="187"/>
        <v>0</v>
      </c>
      <c r="Z127" s="338">
        <f t="shared" si="188"/>
        <v>0</v>
      </c>
      <c r="AA127" s="199">
        <v>8</v>
      </c>
      <c r="AB127" s="176">
        <v>25</v>
      </c>
      <c r="AC127" s="177">
        <v>1</v>
      </c>
      <c r="AD127" s="238">
        <f t="shared" si="189"/>
        <v>0</v>
      </c>
      <c r="AE127" s="238">
        <f t="shared" si="190"/>
        <v>0</v>
      </c>
      <c r="AF127" s="238">
        <f t="shared" si="191"/>
        <v>0</v>
      </c>
      <c r="AG127" s="238">
        <f>M127*VLOOKUP($AA127,'SKOR PPH'!$B$13:$D$21,3,FALSE)</f>
        <v>0</v>
      </c>
      <c r="AH127" s="238">
        <f>N127*VLOOKUP($AA127,'SKOR PPH'!$B$13:$D$21,3,FALSE)</f>
        <v>0</v>
      </c>
      <c r="AI127" s="238">
        <f>O127*VLOOKUP($AA127,'SKOR PPH'!$B$13:$D$21,3,FALSE)</f>
        <v>0</v>
      </c>
      <c r="AJ127" s="238">
        <f>P127*VLOOKUP($AA127,'SKOR PPH'!$B$13:$D$21,3,FALSE)</f>
        <v>0</v>
      </c>
      <c r="AK127" s="238">
        <f>$AD127*VLOOKUP($AA127,'SKOR PPH'!$B$13:$D$21,3,FALSE)</f>
        <v>0</v>
      </c>
      <c r="AL127" s="238">
        <f>R127*VLOOKUP($AA127,'SKOR PPH'!$B$13:$D$21,3,FALSE)</f>
        <v>0</v>
      </c>
      <c r="AM127" s="238">
        <f>S127*VLOOKUP($AA127,'SKOR PPH'!$B$13:$D$21,3,FALSE)</f>
        <v>0</v>
      </c>
      <c r="AN127" s="238">
        <f>T127*VLOOKUP($AA127,'SKOR PPH'!$B$13:$D$21,3,FALSE)</f>
        <v>0</v>
      </c>
      <c r="AO127" s="238">
        <f>U127*VLOOKUP($AA127,'SKOR PPH'!$B$13:$D$21,3,FALSE)</f>
        <v>0</v>
      </c>
      <c r="AP127" s="238">
        <f>$AE127*VLOOKUP($AA127,'SKOR PPH'!$B$13:$D$21,3,FALSE)</f>
        <v>0</v>
      </c>
      <c r="AQ127" s="238">
        <f>W127*VLOOKUP($AA127,'SKOR PPH'!$B$13:$D$21,3,FALSE)</f>
        <v>0</v>
      </c>
      <c r="AR127" s="238">
        <f>X127*VLOOKUP($AA127,'SKOR PPH'!$B$13:$D$21,3,FALSE)</f>
        <v>0</v>
      </c>
      <c r="AS127" s="238">
        <f>Y127*VLOOKUP($AA127,'SKOR PPH'!$B$13:$D$21,3,FALSE)</f>
        <v>0</v>
      </c>
      <c r="AT127" s="238">
        <f>Z127*VLOOKUP($AA127,'SKOR PPH'!$B$13:$D$21,3,FALSE)</f>
        <v>0</v>
      </c>
      <c r="AU127" s="238">
        <f>$AF127*VLOOKUP($AA127,'SKOR PPH'!$B$13:$D$21,3,FALSE)</f>
        <v>0</v>
      </c>
    </row>
    <row r="128" spans="2:47" ht="15" customHeight="1" x14ac:dyDescent="0.2">
      <c r="B128" s="199" t="s">
        <v>317</v>
      </c>
      <c r="C128" s="207">
        <v>100</v>
      </c>
      <c r="D128" s="149">
        <v>71.5</v>
      </c>
      <c r="E128" s="243">
        <v>9.9</v>
      </c>
      <c r="F128" s="149">
        <v>0.75</v>
      </c>
      <c r="G128" s="261">
        <v>32.75</v>
      </c>
      <c r="H128" s="208" t="s">
        <v>36</v>
      </c>
      <c r="I128" s="311">
        <v>0</v>
      </c>
      <c r="J128" s="311">
        <v>0</v>
      </c>
      <c r="K128" s="311">
        <v>0</v>
      </c>
      <c r="L128" s="144">
        <f t="shared" si="174"/>
        <v>0</v>
      </c>
      <c r="M128" s="144">
        <f t="shared" si="175"/>
        <v>0</v>
      </c>
      <c r="N128" s="144">
        <f t="shared" si="176"/>
        <v>0</v>
      </c>
      <c r="O128" s="144">
        <f t="shared" si="177"/>
        <v>0</v>
      </c>
      <c r="P128" s="144">
        <f t="shared" si="178"/>
        <v>0</v>
      </c>
      <c r="Q128" s="144">
        <f t="shared" si="179"/>
        <v>0</v>
      </c>
      <c r="R128" s="144">
        <f t="shared" si="180"/>
        <v>0</v>
      </c>
      <c r="S128" s="144">
        <f t="shared" si="181"/>
        <v>0</v>
      </c>
      <c r="T128" s="144">
        <f t="shared" si="182"/>
        <v>0</v>
      </c>
      <c r="U128" s="144">
        <f t="shared" si="183"/>
        <v>0</v>
      </c>
      <c r="V128" s="338">
        <f t="shared" si="184"/>
        <v>0</v>
      </c>
      <c r="W128" s="338">
        <f t="shared" si="185"/>
        <v>0</v>
      </c>
      <c r="X128" s="338">
        <f t="shared" si="186"/>
        <v>0</v>
      </c>
      <c r="Y128" s="338">
        <f t="shared" si="187"/>
        <v>0</v>
      </c>
      <c r="Z128" s="338">
        <f t="shared" si="188"/>
        <v>0</v>
      </c>
      <c r="AA128" s="199">
        <v>8</v>
      </c>
      <c r="AB128" s="176">
        <v>25</v>
      </c>
      <c r="AC128" s="177">
        <v>1</v>
      </c>
      <c r="AD128" s="238">
        <f t="shared" si="189"/>
        <v>0</v>
      </c>
      <c r="AE128" s="238">
        <f t="shared" si="190"/>
        <v>0</v>
      </c>
      <c r="AF128" s="238">
        <f t="shared" si="191"/>
        <v>0</v>
      </c>
      <c r="AG128" s="238">
        <f>M128*VLOOKUP($AA128,'SKOR PPH'!$B$13:$D$21,3,FALSE)</f>
        <v>0</v>
      </c>
      <c r="AH128" s="238">
        <f>N128*VLOOKUP($AA128,'SKOR PPH'!$B$13:$D$21,3,FALSE)</f>
        <v>0</v>
      </c>
      <c r="AI128" s="238">
        <f>O128*VLOOKUP($AA128,'SKOR PPH'!$B$13:$D$21,3,FALSE)</f>
        <v>0</v>
      </c>
      <c r="AJ128" s="238">
        <f>P128*VLOOKUP($AA128,'SKOR PPH'!$B$13:$D$21,3,FALSE)</f>
        <v>0</v>
      </c>
      <c r="AK128" s="238">
        <f>$AD128*VLOOKUP($AA128,'SKOR PPH'!$B$13:$D$21,3,FALSE)</f>
        <v>0</v>
      </c>
      <c r="AL128" s="238">
        <f>R128*VLOOKUP($AA128,'SKOR PPH'!$B$13:$D$21,3,FALSE)</f>
        <v>0</v>
      </c>
      <c r="AM128" s="238">
        <f>S128*VLOOKUP($AA128,'SKOR PPH'!$B$13:$D$21,3,FALSE)</f>
        <v>0</v>
      </c>
      <c r="AN128" s="238">
        <f>T128*VLOOKUP($AA128,'SKOR PPH'!$B$13:$D$21,3,FALSE)</f>
        <v>0</v>
      </c>
      <c r="AO128" s="238">
        <f>U128*VLOOKUP($AA128,'SKOR PPH'!$B$13:$D$21,3,FALSE)</f>
        <v>0</v>
      </c>
      <c r="AP128" s="238">
        <f>$AE128*VLOOKUP($AA128,'SKOR PPH'!$B$13:$D$21,3,FALSE)</f>
        <v>0</v>
      </c>
      <c r="AQ128" s="238">
        <f>W128*VLOOKUP($AA128,'SKOR PPH'!$B$13:$D$21,3,FALSE)</f>
        <v>0</v>
      </c>
      <c r="AR128" s="238">
        <f>X128*VLOOKUP($AA128,'SKOR PPH'!$B$13:$D$21,3,FALSE)</f>
        <v>0</v>
      </c>
      <c r="AS128" s="238">
        <f>Y128*VLOOKUP($AA128,'SKOR PPH'!$B$13:$D$21,3,FALSE)</f>
        <v>0</v>
      </c>
      <c r="AT128" s="238">
        <f>Z128*VLOOKUP($AA128,'SKOR PPH'!$B$13:$D$21,3,FALSE)</f>
        <v>0</v>
      </c>
      <c r="AU128" s="238">
        <f>$AF128*VLOOKUP($AA128,'SKOR PPH'!$B$13:$D$21,3,FALSE)</f>
        <v>0</v>
      </c>
    </row>
    <row r="129" spans="2:47" ht="15" customHeight="1" x14ac:dyDescent="0.2">
      <c r="B129" s="199" t="s">
        <v>318</v>
      </c>
      <c r="C129" s="207">
        <v>100</v>
      </c>
      <c r="D129" s="149">
        <v>51.1</v>
      </c>
      <c r="E129" s="243">
        <v>3.74</v>
      </c>
      <c r="F129" s="149">
        <v>0.72</v>
      </c>
      <c r="G129" s="261">
        <v>7.92</v>
      </c>
      <c r="H129" s="208" t="s">
        <v>36</v>
      </c>
      <c r="I129" s="311">
        <v>0</v>
      </c>
      <c r="J129" s="311">
        <v>0</v>
      </c>
      <c r="K129" s="311">
        <v>0</v>
      </c>
      <c r="L129" s="144">
        <f t="shared" si="174"/>
        <v>0</v>
      </c>
      <c r="M129" s="144">
        <f t="shared" si="175"/>
        <v>0</v>
      </c>
      <c r="N129" s="144">
        <f t="shared" si="176"/>
        <v>0</v>
      </c>
      <c r="O129" s="144">
        <f t="shared" si="177"/>
        <v>0</v>
      </c>
      <c r="P129" s="144">
        <f t="shared" si="178"/>
        <v>0</v>
      </c>
      <c r="Q129" s="144">
        <f t="shared" si="179"/>
        <v>0</v>
      </c>
      <c r="R129" s="144">
        <f t="shared" si="180"/>
        <v>0</v>
      </c>
      <c r="S129" s="144">
        <f t="shared" si="181"/>
        <v>0</v>
      </c>
      <c r="T129" s="144">
        <f t="shared" si="182"/>
        <v>0</v>
      </c>
      <c r="U129" s="144">
        <f t="shared" si="183"/>
        <v>0</v>
      </c>
      <c r="V129" s="338">
        <f t="shared" si="184"/>
        <v>0</v>
      </c>
      <c r="W129" s="338">
        <f t="shared" si="185"/>
        <v>0</v>
      </c>
      <c r="X129" s="338">
        <f t="shared" si="186"/>
        <v>0</v>
      </c>
      <c r="Y129" s="338">
        <f t="shared" si="187"/>
        <v>0</v>
      </c>
      <c r="Z129" s="338">
        <f t="shared" si="188"/>
        <v>0</v>
      </c>
      <c r="AA129" s="199">
        <v>8</v>
      </c>
      <c r="AB129" s="176">
        <v>25</v>
      </c>
      <c r="AC129" s="177">
        <v>1</v>
      </c>
      <c r="AD129" s="238">
        <f t="shared" si="189"/>
        <v>0</v>
      </c>
      <c r="AE129" s="238">
        <f t="shared" si="190"/>
        <v>0</v>
      </c>
      <c r="AF129" s="238">
        <f t="shared" si="191"/>
        <v>0</v>
      </c>
      <c r="AG129" s="238">
        <f>M129*VLOOKUP($AA129,'SKOR PPH'!$B$13:$D$21,3,FALSE)</f>
        <v>0</v>
      </c>
      <c r="AH129" s="238">
        <f>N129*VLOOKUP($AA129,'SKOR PPH'!$B$13:$D$21,3,FALSE)</f>
        <v>0</v>
      </c>
      <c r="AI129" s="238">
        <f>O129*VLOOKUP($AA129,'SKOR PPH'!$B$13:$D$21,3,FALSE)</f>
        <v>0</v>
      </c>
      <c r="AJ129" s="238">
        <f>P129*VLOOKUP($AA129,'SKOR PPH'!$B$13:$D$21,3,FALSE)</f>
        <v>0</v>
      </c>
      <c r="AK129" s="238">
        <f>$AD129*VLOOKUP($AA129,'SKOR PPH'!$B$13:$D$21,3,FALSE)</f>
        <v>0</v>
      </c>
      <c r="AL129" s="238">
        <f>R129*VLOOKUP($AA129,'SKOR PPH'!$B$13:$D$21,3,FALSE)</f>
        <v>0</v>
      </c>
      <c r="AM129" s="238">
        <f>S129*VLOOKUP($AA129,'SKOR PPH'!$B$13:$D$21,3,FALSE)</f>
        <v>0</v>
      </c>
      <c r="AN129" s="238">
        <f>T129*VLOOKUP($AA129,'SKOR PPH'!$B$13:$D$21,3,FALSE)</f>
        <v>0</v>
      </c>
      <c r="AO129" s="238">
        <f>U129*VLOOKUP($AA129,'SKOR PPH'!$B$13:$D$21,3,FALSE)</f>
        <v>0</v>
      </c>
      <c r="AP129" s="238">
        <f>$AE129*VLOOKUP($AA129,'SKOR PPH'!$B$13:$D$21,3,FALSE)</f>
        <v>0</v>
      </c>
      <c r="AQ129" s="238">
        <f>W129*VLOOKUP($AA129,'SKOR PPH'!$B$13:$D$21,3,FALSE)</f>
        <v>0</v>
      </c>
      <c r="AR129" s="238">
        <f>X129*VLOOKUP($AA129,'SKOR PPH'!$B$13:$D$21,3,FALSE)</f>
        <v>0</v>
      </c>
      <c r="AS129" s="238">
        <f>Y129*VLOOKUP($AA129,'SKOR PPH'!$B$13:$D$21,3,FALSE)</f>
        <v>0</v>
      </c>
      <c r="AT129" s="238">
        <f>Z129*VLOOKUP($AA129,'SKOR PPH'!$B$13:$D$21,3,FALSE)</f>
        <v>0</v>
      </c>
      <c r="AU129" s="238">
        <f>$AF129*VLOOKUP($AA129,'SKOR PPH'!$B$13:$D$21,3,FALSE)</f>
        <v>0</v>
      </c>
    </row>
    <row r="130" spans="2:47" ht="15" customHeight="1" x14ac:dyDescent="0.2">
      <c r="B130" s="199" t="s">
        <v>319</v>
      </c>
      <c r="C130" s="207">
        <v>1000</v>
      </c>
      <c r="D130" s="149">
        <v>1260</v>
      </c>
      <c r="E130" s="243">
        <v>56.7</v>
      </c>
      <c r="F130" s="149">
        <v>0.9</v>
      </c>
      <c r="G130" s="261">
        <v>259.2</v>
      </c>
      <c r="H130" s="208" t="s">
        <v>200</v>
      </c>
      <c r="I130" s="311">
        <v>0</v>
      </c>
      <c r="J130" s="311">
        <v>0</v>
      </c>
      <c r="K130" s="311">
        <v>0</v>
      </c>
      <c r="L130" s="144">
        <f t="shared" si="174"/>
        <v>0</v>
      </c>
      <c r="M130" s="144">
        <f t="shared" si="175"/>
        <v>0</v>
      </c>
      <c r="N130" s="144">
        <f t="shared" si="176"/>
        <v>0</v>
      </c>
      <c r="O130" s="144">
        <f t="shared" si="177"/>
        <v>0</v>
      </c>
      <c r="P130" s="144">
        <f t="shared" si="178"/>
        <v>0</v>
      </c>
      <c r="Q130" s="144">
        <f t="shared" si="179"/>
        <v>0</v>
      </c>
      <c r="R130" s="144">
        <f t="shared" si="180"/>
        <v>0</v>
      </c>
      <c r="S130" s="144">
        <f t="shared" si="181"/>
        <v>0</v>
      </c>
      <c r="T130" s="144">
        <f t="shared" si="182"/>
        <v>0</v>
      </c>
      <c r="U130" s="144">
        <f t="shared" si="183"/>
        <v>0</v>
      </c>
      <c r="V130" s="338">
        <f t="shared" si="184"/>
        <v>0</v>
      </c>
      <c r="W130" s="338">
        <f t="shared" si="185"/>
        <v>0</v>
      </c>
      <c r="X130" s="338">
        <f t="shared" si="186"/>
        <v>0</v>
      </c>
      <c r="Y130" s="338">
        <f t="shared" si="187"/>
        <v>0</v>
      </c>
      <c r="Z130" s="338">
        <f t="shared" si="188"/>
        <v>0</v>
      </c>
      <c r="AA130" s="199">
        <v>8</v>
      </c>
      <c r="AB130" s="176">
        <v>25</v>
      </c>
      <c r="AC130" s="177">
        <v>1</v>
      </c>
      <c r="AD130" s="238">
        <f t="shared" si="189"/>
        <v>0</v>
      </c>
      <c r="AE130" s="238">
        <f t="shared" si="190"/>
        <v>0</v>
      </c>
      <c r="AF130" s="238">
        <f t="shared" si="191"/>
        <v>0</v>
      </c>
      <c r="AG130" s="238">
        <f>M130*VLOOKUP($AA130,'SKOR PPH'!$B$13:$D$21,3,FALSE)</f>
        <v>0</v>
      </c>
      <c r="AH130" s="238">
        <f>N130*VLOOKUP($AA130,'SKOR PPH'!$B$13:$D$21,3,FALSE)</f>
        <v>0</v>
      </c>
      <c r="AI130" s="238">
        <f>O130*VLOOKUP($AA130,'SKOR PPH'!$B$13:$D$21,3,FALSE)</f>
        <v>0</v>
      </c>
      <c r="AJ130" s="238">
        <f>P130*VLOOKUP($AA130,'SKOR PPH'!$B$13:$D$21,3,FALSE)</f>
        <v>0</v>
      </c>
      <c r="AK130" s="238">
        <f>$AD130*VLOOKUP($AA130,'SKOR PPH'!$B$13:$D$21,3,FALSE)</f>
        <v>0</v>
      </c>
      <c r="AL130" s="238">
        <f>R130*VLOOKUP($AA130,'SKOR PPH'!$B$13:$D$21,3,FALSE)</f>
        <v>0</v>
      </c>
      <c r="AM130" s="238">
        <f>S130*VLOOKUP($AA130,'SKOR PPH'!$B$13:$D$21,3,FALSE)</f>
        <v>0</v>
      </c>
      <c r="AN130" s="238">
        <f>T130*VLOOKUP($AA130,'SKOR PPH'!$B$13:$D$21,3,FALSE)</f>
        <v>0</v>
      </c>
      <c r="AO130" s="238">
        <f>U130*VLOOKUP($AA130,'SKOR PPH'!$B$13:$D$21,3,FALSE)</f>
        <v>0</v>
      </c>
      <c r="AP130" s="238">
        <f>$AE130*VLOOKUP($AA130,'SKOR PPH'!$B$13:$D$21,3,FALSE)</f>
        <v>0</v>
      </c>
      <c r="AQ130" s="238">
        <f>W130*VLOOKUP($AA130,'SKOR PPH'!$B$13:$D$21,3,FALSE)</f>
        <v>0</v>
      </c>
      <c r="AR130" s="238">
        <f>X130*VLOOKUP($AA130,'SKOR PPH'!$B$13:$D$21,3,FALSE)</f>
        <v>0</v>
      </c>
      <c r="AS130" s="238">
        <f>Y130*VLOOKUP($AA130,'SKOR PPH'!$B$13:$D$21,3,FALSE)</f>
        <v>0</v>
      </c>
      <c r="AT130" s="238">
        <f>Z130*VLOOKUP($AA130,'SKOR PPH'!$B$13:$D$21,3,FALSE)</f>
        <v>0</v>
      </c>
      <c r="AU130" s="238">
        <f>$AF130*VLOOKUP($AA130,'SKOR PPH'!$B$13:$D$21,3,FALSE)</f>
        <v>0</v>
      </c>
    </row>
    <row r="131" spans="2:47" ht="15" customHeight="1" x14ac:dyDescent="0.2">
      <c r="B131" s="199" t="s">
        <v>320</v>
      </c>
      <c r="C131" s="207">
        <v>100</v>
      </c>
      <c r="D131" s="149">
        <v>35.1</v>
      </c>
      <c r="E131" s="243">
        <v>1.35</v>
      </c>
      <c r="F131" s="149">
        <v>0.27</v>
      </c>
      <c r="G131" s="261">
        <v>0.18</v>
      </c>
      <c r="H131" s="208" t="s">
        <v>36</v>
      </c>
      <c r="I131" s="311">
        <v>0.1406819765729051</v>
      </c>
      <c r="J131" s="311">
        <v>0.86783775995281298</v>
      </c>
      <c r="K131" s="311">
        <v>1.0085197365257177</v>
      </c>
      <c r="L131" s="144">
        <f t="shared" si="174"/>
        <v>2.0097425224700727</v>
      </c>
      <c r="M131" s="144">
        <f t="shared" si="175"/>
        <v>0.70541962538699554</v>
      </c>
      <c r="N131" s="144">
        <f t="shared" si="176"/>
        <v>2.7131524053345984E-2</v>
      </c>
      <c r="O131" s="144">
        <f t="shared" si="177"/>
        <v>5.4263048106691974E-3</v>
      </c>
      <c r="P131" s="144">
        <f t="shared" si="178"/>
        <v>3.6175365404461307E-3</v>
      </c>
      <c r="Q131" s="144">
        <f t="shared" si="179"/>
        <v>12.397682285040187</v>
      </c>
      <c r="R131" s="144">
        <f t="shared" si="180"/>
        <v>4.3515864820491057</v>
      </c>
      <c r="S131" s="144">
        <f t="shared" si="181"/>
        <v>0.16736871084804253</v>
      </c>
      <c r="T131" s="144">
        <f t="shared" si="182"/>
        <v>3.3473742169608502E-2</v>
      </c>
      <c r="U131" s="144">
        <f t="shared" si="183"/>
        <v>2.2315828113072332E-2</v>
      </c>
      <c r="V131" s="338">
        <f t="shared" si="184"/>
        <v>14.407424807510253</v>
      </c>
      <c r="W131" s="338">
        <f t="shared" si="185"/>
        <v>5.0570061074360995</v>
      </c>
      <c r="X131" s="338">
        <f t="shared" si="186"/>
        <v>0.19450023490138843</v>
      </c>
      <c r="Y131" s="338">
        <f t="shared" si="187"/>
        <v>3.8900046980277679E-2</v>
      </c>
      <c r="Z131" s="338">
        <f t="shared" si="188"/>
        <v>2.5933364653518452E-2</v>
      </c>
      <c r="AA131" s="199">
        <v>8</v>
      </c>
      <c r="AB131" s="176">
        <v>25</v>
      </c>
      <c r="AC131" s="177">
        <v>1</v>
      </c>
      <c r="AD131" s="238">
        <f t="shared" si="189"/>
        <v>2.0097425224700727</v>
      </c>
      <c r="AE131" s="238">
        <f t="shared" si="190"/>
        <v>12.397682285040187</v>
      </c>
      <c r="AF131" s="238">
        <f t="shared" si="191"/>
        <v>14.407424807510253</v>
      </c>
      <c r="AG131" s="238">
        <f>M131*VLOOKUP($AA131,'SKOR PPH'!$B$13:$D$21,3,FALSE)</f>
        <v>0.9909734897436514</v>
      </c>
      <c r="AH131" s="238">
        <f>N131*VLOOKUP($AA131,'SKOR PPH'!$B$13:$D$21,3,FALSE)</f>
        <v>3.811436499014044E-2</v>
      </c>
      <c r="AI131" s="238">
        <f>O131*VLOOKUP($AA131,'SKOR PPH'!$B$13:$D$21,3,FALSE)</f>
        <v>7.6228729980280891E-3</v>
      </c>
      <c r="AJ131" s="238">
        <f>P131*VLOOKUP($AA131,'SKOR PPH'!$B$13:$D$21,3,FALSE)</f>
        <v>5.0819153320187244E-3</v>
      </c>
      <c r="AK131" s="238">
        <f>$AD131*VLOOKUP($AA131,'SKOR PPH'!$B$13:$D$21,3,FALSE)</f>
        <v>2.8232862955659583</v>
      </c>
      <c r="AL131" s="238">
        <f>R131*VLOOKUP($AA131,'SKOR PPH'!$B$13:$D$21,3,FALSE)</f>
        <v>6.1131086899825835</v>
      </c>
      <c r="AM131" s="238">
        <f>S131*VLOOKUP($AA131,'SKOR PPH'!$B$13:$D$21,3,FALSE)</f>
        <v>0.23511956499933015</v>
      </c>
      <c r="AN131" s="238">
        <f>T131*VLOOKUP($AA131,'SKOR PPH'!$B$13:$D$21,3,FALSE)</f>
        <v>4.7023912999866024E-2</v>
      </c>
      <c r="AO131" s="238">
        <f>U131*VLOOKUP($AA131,'SKOR PPH'!$B$13:$D$21,3,FALSE)</f>
        <v>3.1349275333244012E-2</v>
      </c>
      <c r="AP131" s="238">
        <f>$AE131*VLOOKUP($AA131,'SKOR PPH'!$B$13:$D$21,3,FALSE)</f>
        <v>17.416264074024454</v>
      </c>
      <c r="AQ131" s="238">
        <f>W131*VLOOKUP($AA131,'SKOR PPH'!$B$13:$D$21,3,FALSE)</f>
        <v>7.104082179726233</v>
      </c>
      <c r="AR131" s="238">
        <f>X131*VLOOKUP($AA131,'SKOR PPH'!$B$13:$D$21,3,FALSE)</f>
        <v>0.27323392998947049</v>
      </c>
      <c r="AS131" s="238">
        <f>Y131*VLOOKUP($AA131,'SKOR PPH'!$B$13:$D$21,3,FALSE)</f>
        <v>5.4646785997894083E-2</v>
      </c>
      <c r="AT131" s="238">
        <f>Z131*VLOOKUP($AA131,'SKOR PPH'!$B$13:$D$21,3,FALSE)</f>
        <v>3.6431190665262722E-2</v>
      </c>
      <c r="AU131" s="238">
        <f>$AF131*VLOOKUP($AA131,'SKOR PPH'!$B$13:$D$21,3,FALSE)</f>
        <v>20.239550369590404</v>
      </c>
    </row>
    <row r="132" spans="2:47" ht="15" customHeight="1" x14ac:dyDescent="0.2">
      <c r="B132" s="199" t="s">
        <v>321</v>
      </c>
      <c r="C132" s="207">
        <v>100</v>
      </c>
      <c r="D132" s="149">
        <v>83.6</v>
      </c>
      <c r="E132" s="243">
        <v>3.96</v>
      </c>
      <c r="F132" s="149">
        <v>0.18</v>
      </c>
      <c r="G132" s="261">
        <v>20.329999999999998</v>
      </c>
      <c r="H132" s="208" t="s">
        <v>36</v>
      </c>
      <c r="I132" s="311">
        <v>2.3633991293286138E-2</v>
      </c>
      <c r="J132" s="311">
        <v>0.11605272189802378</v>
      </c>
      <c r="K132" s="311">
        <v>0.13968671319131001</v>
      </c>
      <c r="L132" s="144">
        <f t="shared" si="174"/>
        <v>0.33762844704694484</v>
      </c>
      <c r="M132" s="144">
        <f t="shared" si="175"/>
        <v>0.28225738173124587</v>
      </c>
      <c r="N132" s="144">
        <f t="shared" si="176"/>
        <v>1.3370086503059014E-2</v>
      </c>
      <c r="O132" s="144">
        <f t="shared" si="177"/>
        <v>6.077312046845006E-4</v>
      </c>
      <c r="P132" s="144">
        <f t="shared" si="178"/>
        <v>6.8639863284643873E-2</v>
      </c>
      <c r="Q132" s="144">
        <f t="shared" si="179"/>
        <v>1.6578960271146255</v>
      </c>
      <c r="R132" s="144">
        <f t="shared" si="180"/>
        <v>1.3860010786678267</v>
      </c>
      <c r="S132" s="144">
        <f t="shared" si="181"/>
        <v>6.5652682673739166E-2</v>
      </c>
      <c r="T132" s="144">
        <f t="shared" si="182"/>
        <v>2.984212848806326E-3</v>
      </c>
      <c r="U132" s="144">
        <f t="shared" si="183"/>
        <v>0.33705026231240331</v>
      </c>
      <c r="V132" s="338">
        <f t="shared" si="184"/>
        <v>1.9955244741615716</v>
      </c>
      <c r="W132" s="338">
        <f t="shared" si="185"/>
        <v>1.6682584603990738</v>
      </c>
      <c r="X132" s="338">
        <f t="shared" si="186"/>
        <v>7.9022769176798249E-2</v>
      </c>
      <c r="Y132" s="338">
        <f t="shared" si="187"/>
        <v>3.5919440534908291E-3</v>
      </c>
      <c r="Z132" s="338">
        <f t="shared" si="188"/>
        <v>0.40569012559704748</v>
      </c>
      <c r="AA132" s="199">
        <v>8</v>
      </c>
      <c r="AB132" s="176">
        <v>25</v>
      </c>
      <c r="AC132" s="177">
        <v>1</v>
      </c>
      <c r="AD132" s="238">
        <f t="shared" si="189"/>
        <v>0.33762844704694484</v>
      </c>
      <c r="AE132" s="238">
        <f t="shared" si="190"/>
        <v>1.6578960271146255</v>
      </c>
      <c r="AF132" s="238">
        <f t="shared" si="191"/>
        <v>1.9955244741615716</v>
      </c>
      <c r="AG132" s="238">
        <f>M132*VLOOKUP($AA132,'SKOR PPH'!$B$13:$D$21,3,FALSE)</f>
        <v>0.39651516985605423</v>
      </c>
      <c r="AH132" s="238">
        <f>N132*VLOOKUP($AA132,'SKOR PPH'!$B$13:$D$21,3,FALSE)</f>
        <v>1.8782297519497303E-2</v>
      </c>
      <c r="AI132" s="238">
        <f>O132*VLOOKUP($AA132,'SKOR PPH'!$B$13:$D$21,3,FALSE)</f>
        <v>8.5374079634078647E-4</v>
      </c>
      <c r="AJ132" s="238">
        <f>P132*VLOOKUP($AA132,'SKOR PPH'!$B$13:$D$21,3,FALSE)</f>
        <v>9.6425279942267711E-2</v>
      </c>
      <c r="AK132" s="238">
        <f>$AD132*VLOOKUP($AA132,'SKOR PPH'!$B$13:$D$21,3,FALSE)</f>
        <v>0.47430044241154812</v>
      </c>
      <c r="AL132" s="238">
        <f>R132*VLOOKUP($AA132,'SKOR PPH'!$B$13:$D$21,3,FALSE)</f>
        <v>1.947054315312563</v>
      </c>
      <c r="AM132" s="238">
        <f>S132*VLOOKUP($AA132,'SKOR PPH'!$B$13:$D$21,3,FALSE)</f>
        <v>9.2228888620068783E-2</v>
      </c>
      <c r="AN132" s="238">
        <f>T132*VLOOKUP($AA132,'SKOR PPH'!$B$13:$D$21,3,FALSE)</f>
        <v>4.1922222100031267E-3</v>
      </c>
      <c r="AO132" s="238">
        <f>U132*VLOOKUP($AA132,'SKOR PPH'!$B$13:$D$21,3,FALSE)</f>
        <v>0.47348820849646417</v>
      </c>
      <c r="AP132" s="238">
        <f>$AE132*VLOOKUP($AA132,'SKOR PPH'!$B$13:$D$21,3,FALSE)</f>
        <v>2.3290123388906259</v>
      </c>
      <c r="AQ132" s="238">
        <f>W132*VLOOKUP($AA132,'SKOR PPH'!$B$13:$D$21,3,FALSE)</f>
        <v>2.3435694851686191</v>
      </c>
      <c r="AR132" s="238">
        <f>X132*VLOOKUP($AA132,'SKOR PPH'!$B$13:$D$21,3,FALSE)</f>
        <v>0.11101118613956619</v>
      </c>
      <c r="AS132" s="238">
        <f>Y132*VLOOKUP($AA132,'SKOR PPH'!$B$13:$D$21,3,FALSE)</f>
        <v>5.0459630063439172E-3</v>
      </c>
      <c r="AT132" s="238">
        <f>Z132*VLOOKUP($AA132,'SKOR PPH'!$B$13:$D$21,3,FALSE)</f>
        <v>0.56991348843873235</v>
      </c>
      <c r="AU132" s="238">
        <f>$AF132*VLOOKUP($AA132,'SKOR PPH'!$B$13:$D$21,3,FALSE)</f>
        <v>2.8033127813021759</v>
      </c>
    </row>
    <row r="133" spans="2:47" ht="15" customHeight="1" x14ac:dyDescent="0.2">
      <c r="B133" s="199" t="s">
        <v>322</v>
      </c>
      <c r="C133" s="207">
        <v>100</v>
      </c>
      <c r="D133" s="149">
        <v>26.4</v>
      </c>
      <c r="E133" s="243">
        <v>0.85</v>
      </c>
      <c r="F133" s="149">
        <v>0.26</v>
      </c>
      <c r="G133" s="261">
        <v>6.21</v>
      </c>
      <c r="H133" s="208" t="s">
        <v>36</v>
      </c>
      <c r="I133" s="311">
        <v>2.4845095660179346E-2</v>
      </c>
      <c r="J133" s="311">
        <v>0.20562499317459493</v>
      </c>
      <c r="K133" s="311">
        <v>0.23047008883477424</v>
      </c>
      <c r="L133" s="144">
        <f t="shared" si="174"/>
        <v>0.35492993800256212</v>
      </c>
      <c r="M133" s="144">
        <f t="shared" si="175"/>
        <v>9.3701503632676389E-2</v>
      </c>
      <c r="N133" s="144">
        <f t="shared" si="176"/>
        <v>3.0169044730217779E-3</v>
      </c>
      <c r="O133" s="144">
        <f t="shared" si="177"/>
        <v>9.2281783880666143E-4</v>
      </c>
      <c r="P133" s="144">
        <f t="shared" si="178"/>
        <v>2.2041149149959107E-2</v>
      </c>
      <c r="Q133" s="144">
        <f t="shared" si="179"/>
        <v>2.9374999024942134</v>
      </c>
      <c r="R133" s="144">
        <f t="shared" si="180"/>
        <v>0.77549997425847228</v>
      </c>
      <c r="S133" s="144">
        <f t="shared" si="181"/>
        <v>2.4968749171200812E-2</v>
      </c>
      <c r="T133" s="144">
        <f t="shared" si="182"/>
        <v>7.6374997464849553E-3</v>
      </c>
      <c r="U133" s="144">
        <f t="shared" si="183"/>
        <v>0.18241874394489063</v>
      </c>
      <c r="V133" s="338">
        <f t="shared" si="184"/>
        <v>3.2924298404967751</v>
      </c>
      <c r="W133" s="338">
        <f t="shared" si="185"/>
        <v>0.86920147789114854</v>
      </c>
      <c r="X133" s="338">
        <f t="shared" si="186"/>
        <v>2.7985653644222588E-2</v>
      </c>
      <c r="Y133" s="338">
        <f t="shared" si="187"/>
        <v>8.5603175852916151E-3</v>
      </c>
      <c r="Z133" s="338">
        <f t="shared" si="188"/>
        <v>0.20445989309484972</v>
      </c>
      <c r="AA133" s="199">
        <v>8</v>
      </c>
      <c r="AB133" s="176">
        <v>25</v>
      </c>
      <c r="AC133" s="177">
        <v>1</v>
      </c>
      <c r="AD133" s="238">
        <f t="shared" si="189"/>
        <v>0.35492993800256212</v>
      </c>
      <c r="AE133" s="238">
        <f t="shared" si="190"/>
        <v>2.9374999024942134</v>
      </c>
      <c r="AF133" s="238">
        <f t="shared" si="191"/>
        <v>3.2924298404967751</v>
      </c>
      <c r="AG133" s="238">
        <f>M133*VLOOKUP($AA133,'SKOR PPH'!$B$13:$D$21,3,FALSE)</f>
        <v>0.13163187230318379</v>
      </c>
      <c r="AH133" s="238">
        <f>N133*VLOOKUP($AA133,'SKOR PPH'!$B$13:$D$21,3,FALSE)</f>
        <v>4.2381474037009939E-3</v>
      </c>
      <c r="AI133" s="238">
        <f>O133*VLOOKUP($AA133,'SKOR PPH'!$B$13:$D$21,3,FALSE)</f>
        <v>1.2963744999555981E-3</v>
      </c>
      <c r="AJ133" s="238">
        <f>P133*VLOOKUP($AA133,'SKOR PPH'!$B$13:$D$21,3,FALSE)</f>
        <v>3.0963406325862555E-2</v>
      </c>
      <c r="AK133" s="238">
        <f>$AD133*VLOOKUP($AA133,'SKOR PPH'!$B$13:$D$21,3,FALSE)</f>
        <v>0.49860557690599927</v>
      </c>
      <c r="AL133" s="238">
        <f>R133*VLOOKUP($AA133,'SKOR PPH'!$B$13:$D$21,3,FALSE)</f>
        <v>1.0894223638383018</v>
      </c>
      <c r="AM133" s="238">
        <f>S133*VLOOKUP($AA133,'SKOR PPH'!$B$13:$D$21,3,FALSE)</f>
        <v>3.5076098835702903E-2</v>
      </c>
      <c r="AN133" s="238">
        <f>T133*VLOOKUP($AA133,'SKOR PPH'!$B$13:$D$21,3,FALSE)</f>
        <v>1.0729159643862066E-2</v>
      </c>
      <c r="AO133" s="238">
        <f>U133*VLOOKUP($AA133,'SKOR PPH'!$B$13:$D$21,3,FALSE)</f>
        <v>0.25626185149378239</v>
      </c>
      <c r="AP133" s="238">
        <f>$AE133*VLOOKUP($AA133,'SKOR PPH'!$B$13:$D$21,3,FALSE)</f>
        <v>4.1265998630238716</v>
      </c>
      <c r="AQ133" s="238">
        <f>W133*VLOOKUP($AA133,'SKOR PPH'!$B$13:$D$21,3,FALSE)</f>
        <v>1.2210542361414856</v>
      </c>
      <c r="AR133" s="238">
        <f>X133*VLOOKUP($AA133,'SKOR PPH'!$B$13:$D$21,3,FALSE)</f>
        <v>3.931424623940389E-2</v>
      </c>
      <c r="AS133" s="238">
        <f>Y133*VLOOKUP($AA133,'SKOR PPH'!$B$13:$D$21,3,FALSE)</f>
        <v>1.2025534143817662E-2</v>
      </c>
      <c r="AT133" s="238">
        <f>Z133*VLOOKUP($AA133,'SKOR PPH'!$B$13:$D$21,3,FALSE)</f>
        <v>0.28722525781964486</v>
      </c>
      <c r="AU133" s="238">
        <f>$AF133*VLOOKUP($AA133,'SKOR PPH'!$B$13:$D$21,3,FALSE)</f>
        <v>4.6252054399298697</v>
      </c>
    </row>
    <row r="134" spans="2:47" ht="15" customHeight="1" x14ac:dyDescent="0.2">
      <c r="B134" s="199" t="s">
        <v>323</v>
      </c>
      <c r="C134" s="207">
        <v>100</v>
      </c>
      <c r="D134" s="149">
        <v>18.899999999999999</v>
      </c>
      <c r="E134" s="243">
        <v>0.56999999999999995</v>
      </c>
      <c r="F134" s="149">
        <v>0.25</v>
      </c>
      <c r="G134" s="261">
        <v>4.26</v>
      </c>
      <c r="H134" s="208" t="s">
        <v>36</v>
      </c>
      <c r="I134" s="311">
        <v>0</v>
      </c>
      <c r="J134" s="311">
        <v>0</v>
      </c>
      <c r="K134" s="311">
        <v>0</v>
      </c>
      <c r="L134" s="144">
        <f t="shared" si="174"/>
        <v>0</v>
      </c>
      <c r="M134" s="144">
        <f t="shared" si="175"/>
        <v>0</v>
      </c>
      <c r="N134" s="144">
        <f t="shared" si="176"/>
        <v>0</v>
      </c>
      <c r="O134" s="144">
        <f t="shared" si="177"/>
        <v>0</v>
      </c>
      <c r="P134" s="144">
        <f t="shared" si="178"/>
        <v>0</v>
      </c>
      <c r="Q134" s="144">
        <f t="shared" si="179"/>
        <v>0</v>
      </c>
      <c r="R134" s="144">
        <f t="shared" si="180"/>
        <v>0</v>
      </c>
      <c r="S134" s="144">
        <f t="shared" si="181"/>
        <v>0</v>
      </c>
      <c r="T134" s="144">
        <f t="shared" si="182"/>
        <v>0</v>
      </c>
      <c r="U134" s="144">
        <f t="shared" si="183"/>
        <v>0</v>
      </c>
      <c r="V134" s="338">
        <f t="shared" si="184"/>
        <v>0</v>
      </c>
      <c r="W134" s="338">
        <f t="shared" si="185"/>
        <v>0</v>
      </c>
      <c r="X134" s="338">
        <f t="shared" si="186"/>
        <v>0</v>
      </c>
      <c r="Y134" s="338">
        <f t="shared" si="187"/>
        <v>0</v>
      </c>
      <c r="Z134" s="338">
        <f t="shared" si="188"/>
        <v>0</v>
      </c>
      <c r="AA134" s="199">
        <v>8</v>
      </c>
      <c r="AB134" s="176">
        <v>25</v>
      </c>
      <c r="AC134" s="177">
        <v>1</v>
      </c>
      <c r="AD134" s="238">
        <f t="shared" si="189"/>
        <v>0</v>
      </c>
      <c r="AE134" s="238">
        <f t="shared" si="190"/>
        <v>0</v>
      </c>
      <c r="AF134" s="238">
        <f t="shared" si="191"/>
        <v>0</v>
      </c>
      <c r="AG134" s="238">
        <f>M134*VLOOKUP($AA134,'SKOR PPH'!$B$13:$D$21,3,FALSE)</f>
        <v>0</v>
      </c>
      <c r="AH134" s="238">
        <f>N134*VLOOKUP($AA134,'SKOR PPH'!$B$13:$D$21,3,FALSE)</f>
        <v>0</v>
      </c>
      <c r="AI134" s="238">
        <f>O134*VLOOKUP($AA134,'SKOR PPH'!$B$13:$D$21,3,FALSE)</f>
        <v>0</v>
      </c>
      <c r="AJ134" s="238">
        <f>P134*VLOOKUP($AA134,'SKOR PPH'!$B$13:$D$21,3,FALSE)</f>
        <v>0</v>
      </c>
      <c r="AK134" s="238">
        <f>$AD134*VLOOKUP($AA134,'SKOR PPH'!$B$13:$D$21,3,FALSE)</f>
        <v>0</v>
      </c>
      <c r="AL134" s="238">
        <f>R134*VLOOKUP($AA134,'SKOR PPH'!$B$13:$D$21,3,FALSE)</f>
        <v>0</v>
      </c>
      <c r="AM134" s="238">
        <f>S134*VLOOKUP($AA134,'SKOR PPH'!$B$13:$D$21,3,FALSE)</f>
        <v>0</v>
      </c>
      <c r="AN134" s="238">
        <f>T134*VLOOKUP($AA134,'SKOR PPH'!$B$13:$D$21,3,FALSE)</f>
        <v>0</v>
      </c>
      <c r="AO134" s="238">
        <f>U134*VLOOKUP($AA134,'SKOR PPH'!$B$13:$D$21,3,FALSE)</f>
        <v>0</v>
      </c>
      <c r="AP134" s="238">
        <f>$AE134*VLOOKUP($AA134,'SKOR PPH'!$B$13:$D$21,3,FALSE)</f>
        <v>0</v>
      </c>
      <c r="AQ134" s="238">
        <f>W134*VLOOKUP($AA134,'SKOR PPH'!$B$13:$D$21,3,FALSE)</f>
        <v>0</v>
      </c>
      <c r="AR134" s="238">
        <f>X134*VLOOKUP($AA134,'SKOR PPH'!$B$13:$D$21,3,FALSE)</f>
        <v>0</v>
      </c>
      <c r="AS134" s="238">
        <f>Y134*VLOOKUP($AA134,'SKOR PPH'!$B$13:$D$21,3,FALSE)</f>
        <v>0</v>
      </c>
      <c r="AT134" s="238">
        <f>Z134*VLOOKUP($AA134,'SKOR PPH'!$B$13:$D$21,3,FALSE)</f>
        <v>0</v>
      </c>
      <c r="AU134" s="238">
        <f>$AF134*VLOOKUP($AA134,'SKOR PPH'!$B$13:$D$21,3,FALSE)</f>
        <v>0</v>
      </c>
    </row>
    <row r="135" spans="2:47" ht="15" customHeight="1" x14ac:dyDescent="0.2">
      <c r="B135" s="199" t="s">
        <v>324</v>
      </c>
      <c r="C135" s="207">
        <v>100</v>
      </c>
      <c r="D135" s="149">
        <v>87.6</v>
      </c>
      <c r="E135" s="243">
        <v>4</v>
      </c>
      <c r="F135" s="149">
        <v>2.04</v>
      </c>
      <c r="G135" s="261">
        <v>16.920000000000002</v>
      </c>
      <c r="H135" s="208" t="s">
        <v>36</v>
      </c>
      <c r="I135" s="311">
        <v>6.9024452401620327E-4</v>
      </c>
      <c r="J135" s="311">
        <v>7.3799991630901507E-3</v>
      </c>
      <c r="K135" s="311">
        <v>8.0702436871063557E-3</v>
      </c>
      <c r="L135" s="144">
        <f t="shared" si="174"/>
        <v>9.8606360573743335E-3</v>
      </c>
      <c r="M135" s="144">
        <f t="shared" si="175"/>
        <v>8.6379171862599156E-3</v>
      </c>
      <c r="N135" s="144">
        <f t="shared" si="176"/>
        <v>3.9442544229497328E-4</v>
      </c>
      <c r="O135" s="144">
        <f t="shared" si="177"/>
        <v>2.0115697557043639E-4</v>
      </c>
      <c r="P135" s="144">
        <f t="shared" si="178"/>
        <v>1.6684196209077373E-3</v>
      </c>
      <c r="Q135" s="144">
        <f t="shared" si="179"/>
        <v>0.10542855947271644</v>
      </c>
      <c r="R135" s="144">
        <f t="shared" si="180"/>
        <v>9.2355418098099593E-2</v>
      </c>
      <c r="S135" s="144">
        <f t="shared" si="181"/>
        <v>4.2171423789086572E-3</v>
      </c>
      <c r="T135" s="144">
        <f t="shared" si="182"/>
        <v>2.1507426132434154E-3</v>
      </c>
      <c r="U135" s="144">
        <f t="shared" si="183"/>
        <v>1.7838512262783622E-2</v>
      </c>
      <c r="V135" s="338">
        <f t="shared" si="184"/>
        <v>0.11528919553009079</v>
      </c>
      <c r="W135" s="338">
        <f t="shared" si="185"/>
        <v>0.10099333528435953</v>
      </c>
      <c r="X135" s="338">
        <f t="shared" si="186"/>
        <v>4.6115678212036316E-3</v>
      </c>
      <c r="Y135" s="338">
        <f t="shared" si="187"/>
        <v>2.3518995888138525E-3</v>
      </c>
      <c r="Z135" s="338">
        <f t="shared" si="188"/>
        <v>1.9506931883691365E-2</v>
      </c>
      <c r="AA135" s="199">
        <v>8</v>
      </c>
      <c r="AB135" s="176">
        <v>25</v>
      </c>
      <c r="AC135" s="177">
        <v>1</v>
      </c>
      <c r="AD135" s="238">
        <f t="shared" si="189"/>
        <v>9.8606360573743335E-3</v>
      </c>
      <c r="AE135" s="238">
        <f t="shared" si="190"/>
        <v>0.10542855947271644</v>
      </c>
      <c r="AF135" s="238">
        <f t="shared" si="191"/>
        <v>0.11528919553009079</v>
      </c>
      <c r="AG135" s="238">
        <f>M135*VLOOKUP($AA135,'SKOR PPH'!$B$13:$D$21,3,FALSE)</f>
        <v>1.213454606325793E-2</v>
      </c>
      <c r="AH135" s="238">
        <f>N135*VLOOKUP($AA135,'SKOR PPH'!$B$13:$D$21,3,FALSE)</f>
        <v>5.5408886133597845E-4</v>
      </c>
      <c r="AI135" s="238">
        <f>O135*VLOOKUP($AA135,'SKOR PPH'!$B$13:$D$21,3,FALSE)</f>
        <v>2.8258531928134905E-4</v>
      </c>
      <c r="AJ135" s="238">
        <f>P135*VLOOKUP($AA135,'SKOR PPH'!$B$13:$D$21,3,FALSE)</f>
        <v>2.3437958834511895E-3</v>
      </c>
      <c r="AK135" s="238">
        <f>$AD135*VLOOKUP($AA135,'SKOR PPH'!$B$13:$D$21,3,FALSE)</f>
        <v>1.3852221533399465E-2</v>
      </c>
      <c r="AL135" s="238">
        <f>R135*VLOOKUP($AA135,'SKOR PPH'!$B$13:$D$21,3,FALSE)</f>
        <v>0.12974089134421032</v>
      </c>
      <c r="AM135" s="238">
        <f>S135*VLOOKUP($AA135,'SKOR PPH'!$B$13:$D$21,3,FALSE)</f>
        <v>5.9242416138908819E-3</v>
      </c>
      <c r="AN135" s="238">
        <f>T135*VLOOKUP($AA135,'SKOR PPH'!$B$13:$D$21,3,FALSE)</f>
        <v>3.02136322308435E-3</v>
      </c>
      <c r="AO135" s="238">
        <f>U135*VLOOKUP($AA135,'SKOR PPH'!$B$13:$D$21,3,FALSE)</f>
        <v>2.5059542026758433E-2</v>
      </c>
      <c r="AP135" s="238">
        <f>$AE135*VLOOKUP($AA135,'SKOR PPH'!$B$13:$D$21,3,FALSE)</f>
        <v>0.14810604034727207</v>
      </c>
      <c r="AQ135" s="238">
        <f>W135*VLOOKUP($AA135,'SKOR PPH'!$B$13:$D$21,3,FALSE)</f>
        <v>0.14187543740746827</v>
      </c>
      <c r="AR135" s="238">
        <f>X135*VLOOKUP($AA135,'SKOR PPH'!$B$13:$D$21,3,FALSE)</f>
        <v>6.4783304752268622E-3</v>
      </c>
      <c r="AS135" s="238">
        <f>Y135*VLOOKUP($AA135,'SKOR PPH'!$B$13:$D$21,3,FALSE)</f>
        <v>3.3039485423657002E-3</v>
      </c>
      <c r="AT135" s="238">
        <f>Z135*VLOOKUP($AA135,'SKOR PPH'!$B$13:$D$21,3,FALSE)</f>
        <v>2.740333791020963E-2</v>
      </c>
      <c r="AU135" s="238">
        <f>$AF135*VLOOKUP($AA135,'SKOR PPH'!$B$13:$D$21,3,FALSE)</f>
        <v>0.16195826188067156</v>
      </c>
    </row>
    <row r="136" spans="2:47" ht="15" customHeight="1" x14ac:dyDescent="0.2">
      <c r="B136" s="199" t="s">
        <v>325</v>
      </c>
      <c r="C136" s="207">
        <v>1000</v>
      </c>
      <c r="D136" s="149">
        <v>0</v>
      </c>
      <c r="E136" s="243">
        <v>0</v>
      </c>
      <c r="F136" s="149">
        <v>0</v>
      </c>
      <c r="G136" s="261">
        <v>0</v>
      </c>
      <c r="H136" s="208" t="s">
        <v>200</v>
      </c>
      <c r="I136" s="311">
        <v>0</v>
      </c>
      <c r="J136" s="311">
        <v>0</v>
      </c>
      <c r="K136" s="311">
        <v>0</v>
      </c>
      <c r="L136" s="144">
        <f t="shared" si="174"/>
        <v>0</v>
      </c>
      <c r="M136" s="144">
        <f t="shared" si="175"/>
        <v>0</v>
      </c>
      <c r="N136" s="144">
        <f t="shared" si="176"/>
        <v>0</v>
      </c>
      <c r="O136" s="144">
        <f t="shared" si="177"/>
        <v>0</v>
      </c>
      <c r="P136" s="144">
        <f t="shared" si="178"/>
        <v>0</v>
      </c>
      <c r="Q136" s="144">
        <f t="shared" si="179"/>
        <v>0</v>
      </c>
      <c r="R136" s="144">
        <f t="shared" si="180"/>
        <v>0</v>
      </c>
      <c r="S136" s="144">
        <f t="shared" si="181"/>
        <v>0</v>
      </c>
      <c r="T136" s="144">
        <f t="shared" si="182"/>
        <v>0</v>
      </c>
      <c r="U136" s="144">
        <f t="shared" si="183"/>
        <v>0</v>
      </c>
      <c r="V136" s="338">
        <f t="shared" si="184"/>
        <v>0</v>
      </c>
      <c r="W136" s="338">
        <f t="shared" si="185"/>
        <v>0</v>
      </c>
      <c r="X136" s="338">
        <f t="shared" si="186"/>
        <v>0</v>
      </c>
      <c r="Y136" s="338">
        <f t="shared" si="187"/>
        <v>0</v>
      </c>
      <c r="Z136" s="338">
        <f t="shared" si="188"/>
        <v>0</v>
      </c>
      <c r="AA136" s="199">
        <v>8</v>
      </c>
      <c r="AB136" s="176">
        <v>25</v>
      </c>
      <c r="AC136" s="177">
        <v>1</v>
      </c>
      <c r="AD136" s="238">
        <f t="shared" si="189"/>
        <v>0</v>
      </c>
      <c r="AE136" s="238">
        <f t="shared" si="190"/>
        <v>0</v>
      </c>
      <c r="AF136" s="238">
        <f t="shared" si="191"/>
        <v>0</v>
      </c>
      <c r="AG136" s="238">
        <f>M136*VLOOKUP($AA136,'SKOR PPH'!$B$13:$D$21,3,FALSE)</f>
        <v>0</v>
      </c>
      <c r="AH136" s="238">
        <f>N136*VLOOKUP($AA136,'SKOR PPH'!$B$13:$D$21,3,FALSE)</f>
        <v>0</v>
      </c>
      <c r="AI136" s="238">
        <f>O136*VLOOKUP($AA136,'SKOR PPH'!$B$13:$D$21,3,FALSE)</f>
        <v>0</v>
      </c>
      <c r="AJ136" s="238">
        <f>P136*VLOOKUP($AA136,'SKOR PPH'!$B$13:$D$21,3,FALSE)</f>
        <v>0</v>
      </c>
      <c r="AK136" s="238">
        <f>$AD136*VLOOKUP($AA136,'SKOR PPH'!$B$13:$D$21,3,FALSE)</f>
        <v>0</v>
      </c>
      <c r="AL136" s="238">
        <f>R136*VLOOKUP($AA136,'SKOR PPH'!$B$13:$D$21,3,FALSE)</f>
        <v>0</v>
      </c>
      <c r="AM136" s="238">
        <f>S136*VLOOKUP($AA136,'SKOR PPH'!$B$13:$D$21,3,FALSE)</f>
        <v>0</v>
      </c>
      <c r="AN136" s="238">
        <f>T136*VLOOKUP($AA136,'SKOR PPH'!$B$13:$D$21,3,FALSE)</f>
        <v>0</v>
      </c>
      <c r="AO136" s="238">
        <f>U136*VLOOKUP($AA136,'SKOR PPH'!$B$13:$D$21,3,FALSE)</f>
        <v>0</v>
      </c>
      <c r="AP136" s="238">
        <f>$AE136*VLOOKUP($AA136,'SKOR PPH'!$B$13:$D$21,3,FALSE)</f>
        <v>0</v>
      </c>
      <c r="AQ136" s="238">
        <f>W136*VLOOKUP($AA136,'SKOR PPH'!$B$13:$D$21,3,FALSE)</f>
        <v>0</v>
      </c>
      <c r="AR136" s="238">
        <f>X136*VLOOKUP($AA136,'SKOR PPH'!$B$13:$D$21,3,FALSE)</f>
        <v>0</v>
      </c>
      <c r="AS136" s="238">
        <f>Y136*VLOOKUP($AA136,'SKOR PPH'!$B$13:$D$21,3,FALSE)</f>
        <v>0</v>
      </c>
      <c r="AT136" s="238">
        <f>Z136*VLOOKUP($AA136,'SKOR PPH'!$B$13:$D$21,3,FALSE)</f>
        <v>0</v>
      </c>
      <c r="AU136" s="238">
        <f>$AF136*VLOOKUP($AA136,'SKOR PPH'!$B$13:$D$21,3,FALSE)</f>
        <v>0</v>
      </c>
    </row>
    <row r="137" spans="2:47" ht="15" customHeight="1" x14ac:dyDescent="0.2">
      <c r="B137" s="199" t="s">
        <v>33</v>
      </c>
      <c r="C137" s="207">
        <v>1000</v>
      </c>
      <c r="D137" s="149">
        <v>285</v>
      </c>
      <c r="E137" s="243">
        <v>24.96</v>
      </c>
      <c r="F137" s="149">
        <v>5.9</v>
      </c>
      <c r="G137" s="261">
        <v>48.82</v>
      </c>
      <c r="H137" s="208" t="s">
        <v>200</v>
      </c>
      <c r="I137" s="311">
        <v>0</v>
      </c>
      <c r="J137" s="311">
        <v>0</v>
      </c>
      <c r="K137" s="311">
        <v>0</v>
      </c>
      <c r="L137" s="144">
        <f t="shared" si="174"/>
        <v>0</v>
      </c>
      <c r="M137" s="144">
        <f t="shared" si="175"/>
        <v>0</v>
      </c>
      <c r="N137" s="144">
        <f t="shared" si="176"/>
        <v>0</v>
      </c>
      <c r="O137" s="144">
        <f t="shared" si="177"/>
        <v>0</v>
      </c>
      <c r="P137" s="144">
        <f t="shared" si="178"/>
        <v>0</v>
      </c>
      <c r="Q137" s="144">
        <f t="shared" si="179"/>
        <v>0</v>
      </c>
      <c r="R137" s="144">
        <f t="shared" si="180"/>
        <v>0</v>
      </c>
      <c r="S137" s="144">
        <f t="shared" si="181"/>
        <v>0</v>
      </c>
      <c r="T137" s="144">
        <f t="shared" si="182"/>
        <v>0</v>
      </c>
      <c r="U137" s="144">
        <f t="shared" si="183"/>
        <v>0</v>
      </c>
      <c r="V137" s="338">
        <f t="shared" si="184"/>
        <v>0</v>
      </c>
      <c r="W137" s="338">
        <f t="shared" si="185"/>
        <v>0</v>
      </c>
      <c r="X137" s="338">
        <f t="shared" si="186"/>
        <v>0</v>
      </c>
      <c r="Y137" s="338">
        <f t="shared" si="187"/>
        <v>0</v>
      </c>
      <c r="Z137" s="338">
        <f t="shared" si="188"/>
        <v>0</v>
      </c>
      <c r="AA137" s="199">
        <v>8</v>
      </c>
      <c r="AB137" s="176">
        <v>25</v>
      </c>
      <c r="AC137" s="177">
        <v>1</v>
      </c>
      <c r="AD137" s="238">
        <f t="shared" si="189"/>
        <v>0</v>
      </c>
      <c r="AE137" s="238">
        <f t="shared" si="190"/>
        <v>0</v>
      </c>
      <c r="AF137" s="238">
        <f t="shared" si="191"/>
        <v>0</v>
      </c>
      <c r="AG137" s="238">
        <f>M137*VLOOKUP($AA137,'SKOR PPH'!$B$13:$D$21,3,FALSE)</f>
        <v>0</v>
      </c>
      <c r="AH137" s="238">
        <f>N137*VLOOKUP($AA137,'SKOR PPH'!$B$13:$D$21,3,FALSE)</f>
        <v>0</v>
      </c>
      <c r="AI137" s="238">
        <f>O137*VLOOKUP($AA137,'SKOR PPH'!$B$13:$D$21,3,FALSE)</f>
        <v>0</v>
      </c>
      <c r="AJ137" s="238">
        <f>P137*VLOOKUP($AA137,'SKOR PPH'!$B$13:$D$21,3,FALSE)</f>
        <v>0</v>
      </c>
      <c r="AK137" s="238">
        <f>$AD137*VLOOKUP($AA137,'SKOR PPH'!$B$13:$D$21,3,FALSE)</f>
        <v>0</v>
      </c>
      <c r="AL137" s="238">
        <f>R137*VLOOKUP($AA137,'SKOR PPH'!$B$13:$D$21,3,FALSE)</f>
        <v>0</v>
      </c>
      <c r="AM137" s="238">
        <f>S137*VLOOKUP($AA137,'SKOR PPH'!$B$13:$D$21,3,FALSE)</f>
        <v>0</v>
      </c>
      <c r="AN137" s="238">
        <f>T137*VLOOKUP($AA137,'SKOR PPH'!$B$13:$D$21,3,FALSE)</f>
        <v>0</v>
      </c>
      <c r="AO137" s="238">
        <f>U137*VLOOKUP($AA137,'SKOR PPH'!$B$13:$D$21,3,FALSE)</f>
        <v>0</v>
      </c>
      <c r="AP137" s="238">
        <f>$AE137*VLOOKUP($AA137,'SKOR PPH'!$B$13:$D$21,3,FALSE)</f>
        <v>0</v>
      </c>
      <c r="AQ137" s="238">
        <f>W137*VLOOKUP($AA137,'SKOR PPH'!$B$13:$D$21,3,FALSE)</f>
        <v>0</v>
      </c>
      <c r="AR137" s="238">
        <f>X137*VLOOKUP($AA137,'SKOR PPH'!$B$13:$D$21,3,FALSE)</f>
        <v>0</v>
      </c>
      <c r="AS137" s="238">
        <f>Y137*VLOOKUP($AA137,'SKOR PPH'!$B$13:$D$21,3,FALSE)</f>
        <v>0</v>
      </c>
      <c r="AT137" s="238">
        <f>Z137*VLOOKUP($AA137,'SKOR PPH'!$B$13:$D$21,3,FALSE)</f>
        <v>0</v>
      </c>
      <c r="AU137" s="238">
        <f>$AF137*VLOOKUP($AA137,'SKOR PPH'!$B$13:$D$21,3,FALSE)</f>
        <v>0</v>
      </c>
    </row>
    <row r="138" spans="2:47" ht="15" customHeight="1" x14ac:dyDescent="0.2">
      <c r="B138" s="211"/>
      <c r="C138" s="187"/>
      <c r="D138" s="188"/>
      <c r="E138" s="248"/>
      <c r="F138" s="188"/>
      <c r="G138" s="188"/>
      <c r="H138" s="267"/>
      <c r="I138" s="314"/>
      <c r="J138" s="314"/>
      <c r="K138" s="314"/>
      <c r="L138" s="127"/>
      <c r="M138" s="182"/>
      <c r="N138" s="127"/>
      <c r="O138" s="189"/>
      <c r="P138" s="189"/>
      <c r="Q138" s="127"/>
      <c r="R138" s="182"/>
      <c r="S138" s="127"/>
      <c r="T138" s="189"/>
      <c r="U138" s="189"/>
      <c r="V138" s="127"/>
      <c r="W138" s="182"/>
      <c r="X138" s="127"/>
      <c r="Y138" s="189"/>
      <c r="Z138" s="189"/>
      <c r="AA138" s="190"/>
      <c r="AB138" s="190"/>
      <c r="AC138" s="191"/>
      <c r="AD138" s="236"/>
      <c r="AE138" s="236"/>
      <c r="AF138" s="236"/>
      <c r="AG138" s="236"/>
      <c r="AH138" s="236"/>
      <c r="AI138" s="236"/>
      <c r="AJ138" s="236"/>
      <c r="AK138" s="236"/>
      <c r="AL138" s="236"/>
      <c r="AM138" s="236"/>
      <c r="AN138" s="236"/>
      <c r="AO138" s="236"/>
      <c r="AP138" s="236"/>
      <c r="AQ138" s="236"/>
      <c r="AR138" s="236"/>
      <c r="AS138" s="236"/>
      <c r="AT138" s="236"/>
      <c r="AU138" s="236"/>
    </row>
    <row r="139" spans="2:47" ht="15" customHeight="1" x14ac:dyDescent="0.2">
      <c r="B139" s="186" t="s">
        <v>86</v>
      </c>
      <c r="C139" s="187"/>
      <c r="D139" s="188"/>
      <c r="E139" s="248"/>
      <c r="F139" s="188"/>
      <c r="G139" s="188"/>
      <c r="H139" s="267"/>
      <c r="I139" s="314"/>
      <c r="J139" s="314"/>
      <c r="K139" s="314"/>
      <c r="L139" s="170"/>
      <c r="M139" s="170"/>
      <c r="N139" s="170"/>
      <c r="O139" s="171"/>
      <c r="P139" s="171"/>
      <c r="Q139" s="170"/>
      <c r="R139" s="170"/>
      <c r="S139" s="170"/>
      <c r="T139" s="171"/>
      <c r="U139" s="171"/>
      <c r="V139" s="170"/>
      <c r="W139" s="170"/>
      <c r="X139" s="170"/>
      <c r="Y139" s="171"/>
      <c r="Z139" s="171"/>
      <c r="AA139" s="190"/>
      <c r="AB139" s="190"/>
      <c r="AC139" s="191"/>
      <c r="AD139" s="236"/>
      <c r="AE139" s="236"/>
      <c r="AF139" s="236"/>
      <c r="AG139" s="236"/>
      <c r="AH139" s="236"/>
      <c r="AI139" s="236"/>
      <c r="AJ139" s="236"/>
      <c r="AK139" s="236"/>
      <c r="AL139" s="236"/>
      <c r="AM139" s="236"/>
      <c r="AN139" s="236"/>
      <c r="AO139" s="236"/>
      <c r="AP139" s="236"/>
      <c r="AQ139" s="236"/>
      <c r="AR139" s="236"/>
      <c r="AS139" s="236"/>
      <c r="AT139" s="236"/>
      <c r="AU139" s="236"/>
    </row>
    <row r="140" spans="2:47" ht="15" customHeight="1" x14ac:dyDescent="0.2">
      <c r="B140" s="199" t="s">
        <v>87</v>
      </c>
      <c r="C140" s="207">
        <v>1000</v>
      </c>
      <c r="D140" s="149">
        <v>4520</v>
      </c>
      <c r="E140" s="243">
        <v>253</v>
      </c>
      <c r="F140" s="149">
        <v>428</v>
      </c>
      <c r="G140" s="261">
        <v>211</v>
      </c>
      <c r="H140" s="208" t="s">
        <v>200</v>
      </c>
      <c r="I140" s="311">
        <v>3.4917198855908605E-5</v>
      </c>
      <c r="J140" s="311">
        <v>2.111913071354686E-3</v>
      </c>
      <c r="K140" s="311">
        <v>2.146830270210595E-3</v>
      </c>
      <c r="L140" s="144">
        <f t="shared" ref="L140:L150" si="192">$I140*C140/7</f>
        <v>4.9881712651298005E-3</v>
      </c>
      <c r="M140" s="144">
        <f t="shared" ref="M140:M150" si="193">$I140*D140/7</f>
        <v>2.25465341183867E-2</v>
      </c>
      <c r="N140" s="144">
        <f t="shared" ref="N140:N150" si="194">$I140*E140/7</f>
        <v>1.2620073300778395E-3</v>
      </c>
      <c r="O140" s="144">
        <f t="shared" ref="O140:O150" si="195">$I140*F140/7</f>
        <v>2.134937301475555E-3</v>
      </c>
      <c r="P140" s="144">
        <f t="shared" ref="P140:P150" si="196">$I140*G140/7</f>
        <v>1.0525041369423879E-3</v>
      </c>
      <c r="Q140" s="144">
        <f t="shared" ref="Q140:Q150" si="197">$J140*C140/7</f>
        <v>0.30170186733638371</v>
      </c>
      <c r="R140" s="144">
        <f t="shared" ref="R140:R150" si="198">$J140*D140/7</f>
        <v>1.3636924403604544</v>
      </c>
      <c r="S140" s="144">
        <f t="shared" ref="S140:S150" si="199">$J140*E140/7</f>
        <v>7.6330572436105082E-2</v>
      </c>
      <c r="T140" s="144">
        <f t="shared" ref="T140:T150" si="200">$J140*F140/7</f>
        <v>0.12912839921997224</v>
      </c>
      <c r="U140" s="144">
        <f t="shared" ref="U140:U150" si="201">$J140*G140/7</f>
        <v>6.3659094007976966E-2</v>
      </c>
      <c r="V140" s="338">
        <f t="shared" ref="V140:V150" si="202">$K140*C140/7</f>
        <v>0.30669003860151356</v>
      </c>
      <c r="W140" s="338">
        <f t="shared" ref="W140:W150" si="203">$K140*D140/7</f>
        <v>1.3862389744788413</v>
      </c>
      <c r="X140" s="338">
        <f t="shared" ref="X140:X150" si="204">$K140*E140/7</f>
        <v>7.7592579766182931E-2</v>
      </c>
      <c r="Y140" s="338">
        <f t="shared" ref="Y140:Y150" si="205">$K140*F140/7</f>
        <v>0.13126333652144781</v>
      </c>
      <c r="Z140" s="338">
        <f t="shared" ref="Z140:Z150" si="206">$K140*G140/7</f>
        <v>6.4711598144919363E-2</v>
      </c>
      <c r="AA140" s="199">
        <v>6</v>
      </c>
      <c r="AB140" s="176">
        <v>20</v>
      </c>
      <c r="AC140" s="177">
        <v>1</v>
      </c>
      <c r="AD140" s="238">
        <f t="shared" ref="AD140:AD150" si="207">$L140*$AC140</f>
        <v>4.9881712651298005E-3</v>
      </c>
      <c r="AE140" s="238">
        <f t="shared" ref="AE140:AE150" si="208">$Q140*$AC140</f>
        <v>0.30170186733638371</v>
      </c>
      <c r="AF140" s="238">
        <f t="shared" ref="AF140:AF150" si="209">$V140*$AC140</f>
        <v>0.30669003860151356</v>
      </c>
      <c r="AG140" s="238">
        <f>M140*VLOOKUP($AA140,'SKOR PPH'!$B$13:$D$21,3,FALSE)</f>
        <v>3.460216591148807E-2</v>
      </c>
      <c r="AH140" s="238">
        <f>N140*VLOOKUP($AA140,'SKOR PPH'!$B$13:$D$21,3,FALSE)</f>
        <v>1.9368026494704603E-3</v>
      </c>
      <c r="AI140" s="238">
        <f>O140*VLOOKUP($AA140,'SKOR PPH'!$B$13:$D$21,3,FALSE)</f>
        <v>3.2764882765745343E-3</v>
      </c>
      <c r="AJ140" s="238">
        <f>P140*VLOOKUP($AA140,'SKOR PPH'!$B$13:$D$21,3,FALSE)</f>
        <v>1.6152780989654827E-3</v>
      </c>
      <c r="AK140" s="238">
        <f>$AD140*VLOOKUP($AA140,'SKOR PPH'!$B$13:$D$21,3,FALSE)</f>
        <v>7.6553464405947043E-3</v>
      </c>
      <c r="AL140" s="238">
        <f>R140*VLOOKUP($AA140,'SKOR PPH'!$B$13:$D$21,3,FALSE)</f>
        <v>2.0928587882211893</v>
      </c>
      <c r="AM140" s="238">
        <f>S140*VLOOKUP($AA140,'SKOR PPH'!$B$13:$D$21,3,FALSE)</f>
        <v>0.11714452951769047</v>
      </c>
      <c r="AN140" s="238">
        <f>T140*VLOOKUP($AA140,'SKOR PPH'!$B$13:$D$21,3,FALSE)</f>
        <v>0.1981733542828914</v>
      </c>
      <c r="AO140" s="238">
        <f>U140*VLOOKUP($AA140,'SKOR PPH'!$B$13:$D$21,3,FALSE)</f>
        <v>9.7697611574042248E-2</v>
      </c>
      <c r="AP140" s="238">
        <f>$AE140*VLOOKUP($AA140,'SKOR PPH'!$B$13:$D$21,3,FALSE)</f>
        <v>0.46302185580114807</v>
      </c>
      <c r="AQ140" s="238">
        <f>W140*VLOOKUP($AA140,'SKOR PPH'!$B$13:$D$21,3,FALSE)</f>
        <v>2.1274609541326774</v>
      </c>
      <c r="AR140" s="238">
        <f>X140*VLOOKUP($AA140,'SKOR PPH'!$B$13:$D$21,3,FALSE)</f>
        <v>0.11908133216716094</v>
      </c>
      <c r="AS140" s="238">
        <f>Y140*VLOOKUP($AA140,'SKOR PPH'!$B$13:$D$21,3,FALSE)</f>
        <v>0.20144984255946594</v>
      </c>
      <c r="AT140" s="238">
        <f>Z140*VLOOKUP($AA140,'SKOR PPH'!$B$13:$D$21,3,FALSE)</f>
        <v>9.9312889673007748E-2</v>
      </c>
      <c r="AU140" s="238">
        <f>$AF140*VLOOKUP($AA140,'SKOR PPH'!$B$13:$D$21,3,FALSE)</f>
        <v>0.47067720224174286</v>
      </c>
    </row>
    <row r="141" spans="2:47" ht="15" customHeight="1" x14ac:dyDescent="0.2">
      <c r="B141" s="199" t="s">
        <v>88</v>
      </c>
      <c r="C141" s="207">
        <v>1000</v>
      </c>
      <c r="D141" s="149">
        <v>5250</v>
      </c>
      <c r="E141" s="243">
        <v>279</v>
      </c>
      <c r="F141" s="149">
        <v>427</v>
      </c>
      <c r="G141" s="261">
        <v>174</v>
      </c>
      <c r="H141" s="208" t="s">
        <v>200</v>
      </c>
      <c r="I141" s="311">
        <v>0</v>
      </c>
      <c r="J141" s="311">
        <v>0</v>
      </c>
      <c r="K141" s="311">
        <v>0</v>
      </c>
      <c r="L141" s="144">
        <f t="shared" si="192"/>
        <v>0</v>
      </c>
      <c r="M141" s="144">
        <f t="shared" si="193"/>
        <v>0</v>
      </c>
      <c r="N141" s="144">
        <f t="shared" si="194"/>
        <v>0</v>
      </c>
      <c r="O141" s="144">
        <f t="shared" si="195"/>
        <v>0</v>
      </c>
      <c r="P141" s="144">
        <f t="shared" si="196"/>
        <v>0</v>
      </c>
      <c r="Q141" s="144">
        <f t="shared" si="197"/>
        <v>0</v>
      </c>
      <c r="R141" s="144">
        <f t="shared" si="198"/>
        <v>0</v>
      </c>
      <c r="S141" s="144">
        <f t="shared" si="199"/>
        <v>0</v>
      </c>
      <c r="T141" s="144">
        <f t="shared" si="200"/>
        <v>0</v>
      </c>
      <c r="U141" s="144">
        <f t="shared" si="201"/>
        <v>0</v>
      </c>
      <c r="V141" s="338">
        <f t="shared" si="202"/>
        <v>0</v>
      </c>
      <c r="W141" s="338">
        <f t="shared" si="203"/>
        <v>0</v>
      </c>
      <c r="X141" s="338">
        <f t="shared" si="204"/>
        <v>0</v>
      </c>
      <c r="Y141" s="338">
        <f t="shared" si="205"/>
        <v>0</v>
      </c>
      <c r="Z141" s="338">
        <f t="shared" si="206"/>
        <v>0</v>
      </c>
      <c r="AA141" s="199">
        <v>6</v>
      </c>
      <c r="AB141" s="176">
        <v>20</v>
      </c>
      <c r="AC141" s="177">
        <v>0.4</v>
      </c>
      <c r="AD141" s="238">
        <f t="shared" si="207"/>
        <v>0</v>
      </c>
      <c r="AE141" s="238">
        <f t="shared" si="208"/>
        <v>0</v>
      </c>
      <c r="AF141" s="238">
        <f t="shared" si="209"/>
        <v>0</v>
      </c>
      <c r="AG141" s="238">
        <f>M141*VLOOKUP($AA141,'SKOR PPH'!$B$13:$D$21,3,FALSE)</f>
        <v>0</v>
      </c>
      <c r="AH141" s="238">
        <f>N141*VLOOKUP($AA141,'SKOR PPH'!$B$13:$D$21,3,FALSE)</f>
        <v>0</v>
      </c>
      <c r="AI141" s="238">
        <f>O141*VLOOKUP($AA141,'SKOR PPH'!$B$13:$D$21,3,FALSE)</f>
        <v>0</v>
      </c>
      <c r="AJ141" s="238">
        <f>P141*VLOOKUP($AA141,'SKOR PPH'!$B$13:$D$21,3,FALSE)</f>
        <v>0</v>
      </c>
      <c r="AK141" s="238">
        <f>$AD141*VLOOKUP($AA141,'SKOR PPH'!$B$13:$D$21,3,FALSE)</f>
        <v>0</v>
      </c>
      <c r="AL141" s="238">
        <f>R141*VLOOKUP($AA141,'SKOR PPH'!$B$13:$D$21,3,FALSE)</f>
        <v>0</v>
      </c>
      <c r="AM141" s="238">
        <f>S141*VLOOKUP($AA141,'SKOR PPH'!$B$13:$D$21,3,FALSE)</f>
        <v>0</v>
      </c>
      <c r="AN141" s="238">
        <f>T141*VLOOKUP($AA141,'SKOR PPH'!$B$13:$D$21,3,FALSE)</f>
        <v>0</v>
      </c>
      <c r="AO141" s="238">
        <f>U141*VLOOKUP($AA141,'SKOR PPH'!$B$13:$D$21,3,FALSE)</f>
        <v>0</v>
      </c>
      <c r="AP141" s="238">
        <f>$AE141*VLOOKUP($AA141,'SKOR PPH'!$B$13:$D$21,3,FALSE)</f>
        <v>0</v>
      </c>
      <c r="AQ141" s="238">
        <f>W141*VLOOKUP($AA141,'SKOR PPH'!$B$13:$D$21,3,FALSE)</f>
        <v>0</v>
      </c>
      <c r="AR141" s="238">
        <f>X141*VLOOKUP($AA141,'SKOR PPH'!$B$13:$D$21,3,FALSE)</f>
        <v>0</v>
      </c>
      <c r="AS141" s="238">
        <f>Y141*VLOOKUP($AA141,'SKOR PPH'!$B$13:$D$21,3,FALSE)</f>
        <v>0</v>
      </c>
      <c r="AT141" s="238">
        <f>Z141*VLOOKUP($AA141,'SKOR PPH'!$B$13:$D$21,3,FALSE)</f>
        <v>0</v>
      </c>
      <c r="AU141" s="238">
        <f>$AF141*VLOOKUP($AA141,'SKOR PPH'!$B$13:$D$21,3,FALSE)</f>
        <v>0</v>
      </c>
    </row>
    <row r="142" spans="2:47" ht="15" customHeight="1" x14ac:dyDescent="0.2">
      <c r="B142" s="199" t="s">
        <v>89</v>
      </c>
      <c r="C142" s="207">
        <v>1000</v>
      </c>
      <c r="D142" s="149">
        <v>3810</v>
      </c>
      <c r="E142" s="243">
        <v>404</v>
      </c>
      <c r="F142" s="149">
        <v>167</v>
      </c>
      <c r="G142" s="261">
        <v>249</v>
      </c>
      <c r="H142" s="208" t="s">
        <v>200</v>
      </c>
      <c r="I142" s="311">
        <v>0</v>
      </c>
      <c r="J142" s="311">
        <v>0</v>
      </c>
      <c r="K142" s="311">
        <v>0</v>
      </c>
      <c r="L142" s="144">
        <f t="shared" si="192"/>
        <v>0</v>
      </c>
      <c r="M142" s="144">
        <f t="shared" si="193"/>
        <v>0</v>
      </c>
      <c r="N142" s="144">
        <f t="shared" si="194"/>
        <v>0</v>
      </c>
      <c r="O142" s="144">
        <f t="shared" si="195"/>
        <v>0</v>
      </c>
      <c r="P142" s="144">
        <f t="shared" si="196"/>
        <v>0</v>
      </c>
      <c r="Q142" s="144">
        <f t="shared" si="197"/>
        <v>0</v>
      </c>
      <c r="R142" s="144">
        <f t="shared" si="198"/>
        <v>0</v>
      </c>
      <c r="S142" s="144">
        <f t="shared" si="199"/>
        <v>0</v>
      </c>
      <c r="T142" s="144">
        <f t="shared" si="200"/>
        <v>0</v>
      </c>
      <c r="U142" s="144">
        <f t="shared" si="201"/>
        <v>0</v>
      </c>
      <c r="V142" s="338">
        <f t="shared" si="202"/>
        <v>0</v>
      </c>
      <c r="W142" s="338">
        <f t="shared" si="203"/>
        <v>0</v>
      </c>
      <c r="X142" s="338">
        <f t="shared" si="204"/>
        <v>0</v>
      </c>
      <c r="Y142" s="338">
        <f t="shared" si="205"/>
        <v>0</v>
      </c>
      <c r="Z142" s="338">
        <f t="shared" si="206"/>
        <v>0</v>
      </c>
      <c r="AA142" s="199">
        <v>6</v>
      </c>
      <c r="AB142" s="176">
        <v>19</v>
      </c>
      <c r="AC142" s="177">
        <v>1</v>
      </c>
      <c r="AD142" s="238">
        <f t="shared" si="207"/>
        <v>0</v>
      </c>
      <c r="AE142" s="238">
        <f t="shared" si="208"/>
        <v>0</v>
      </c>
      <c r="AF142" s="238">
        <f t="shared" si="209"/>
        <v>0</v>
      </c>
      <c r="AG142" s="238">
        <f>M142*VLOOKUP($AA142,'SKOR PPH'!$B$13:$D$21,3,FALSE)</f>
        <v>0</v>
      </c>
      <c r="AH142" s="238">
        <f>N142*VLOOKUP($AA142,'SKOR PPH'!$B$13:$D$21,3,FALSE)</f>
        <v>0</v>
      </c>
      <c r="AI142" s="238">
        <f>O142*VLOOKUP($AA142,'SKOR PPH'!$B$13:$D$21,3,FALSE)</f>
        <v>0</v>
      </c>
      <c r="AJ142" s="238">
        <f>P142*VLOOKUP($AA142,'SKOR PPH'!$B$13:$D$21,3,FALSE)</f>
        <v>0</v>
      </c>
      <c r="AK142" s="238">
        <f>$AD142*VLOOKUP($AA142,'SKOR PPH'!$B$13:$D$21,3,FALSE)</f>
        <v>0</v>
      </c>
      <c r="AL142" s="238">
        <f>R142*VLOOKUP($AA142,'SKOR PPH'!$B$13:$D$21,3,FALSE)</f>
        <v>0</v>
      </c>
      <c r="AM142" s="238">
        <f>S142*VLOOKUP($AA142,'SKOR PPH'!$B$13:$D$21,3,FALSE)</f>
        <v>0</v>
      </c>
      <c r="AN142" s="238">
        <f>T142*VLOOKUP($AA142,'SKOR PPH'!$B$13:$D$21,3,FALSE)</f>
        <v>0</v>
      </c>
      <c r="AO142" s="238">
        <f>U142*VLOOKUP($AA142,'SKOR PPH'!$B$13:$D$21,3,FALSE)</f>
        <v>0</v>
      </c>
      <c r="AP142" s="238">
        <f>$AE142*VLOOKUP($AA142,'SKOR PPH'!$B$13:$D$21,3,FALSE)</f>
        <v>0</v>
      </c>
      <c r="AQ142" s="238">
        <f>W142*VLOOKUP($AA142,'SKOR PPH'!$B$13:$D$21,3,FALSE)</f>
        <v>0</v>
      </c>
      <c r="AR142" s="238">
        <f>X142*VLOOKUP($AA142,'SKOR PPH'!$B$13:$D$21,3,FALSE)</f>
        <v>0</v>
      </c>
      <c r="AS142" s="238">
        <f>Y142*VLOOKUP($AA142,'SKOR PPH'!$B$13:$D$21,3,FALSE)</f>
        <v>0</v>
      </c>
      <c r="AT142" s="238">
        <f>Z142*VLOOKUP($AA142,'SKOR PPH'!$B$13:$D$21,3,FALSE)</f>
        <v>0</v>
      </c>
      <c r="AU142" s="238">
        <f>$AF142*VLOOKUP($AA142,'SKOR PPH'!$B$13:$D$21,3,FALSE)</f>
        <v>0</v>
      </c>
    </row>
    <row r="143" spans="2:47" ht="15" customHeight="1" x14ac:dyDescent="0.2">
      <c r="B143" s="199" t="s">
        <v>326</v>
      </c>
      <c r="C143" s="207">
        <v>1000</v>
      </c>
      <c r="D143" s="149">
        <v>3373.3</v>
      </c>
      <c r="E143" s="243">
        <v>202.67</v>
      </c>
      <c r="F143" s="149">
        <v>18</v>
      </c>
      <c r="G143" s="261">
        <v>640.33000000000004</v>
      </c>
      <c r="H143" s="208" t="s">
        <v>200</v>
      </c>
      <c r="I143" s="311">
        <v>0</v>
      </c>
      <c r="J143" s="311">
        <v>0</v>
      </c>
      <c r="K143" s="311">
        <v>0</v>
      </c>
      <c r="L143" s="144">
        <f t="shared" si="192"/>
        <v>0</v>
      </c>
      <c r="M143" s="144">
        <f t="shared" si="193"/>
        <v>0</v>
      </c>
      <c r="N143" s="144">
        <f t="shared" si="194"/>
        <v>0</v>
      </c>
      <c r="O143" s="144">
        <f t="shared" si="195"/>
        <v>0</v>
      </c>
      <c r="P143" s="144">
        <f t="shared" si="196"/>
        <v>0</v>
      </c>
      <c r="Q143" s="144">
        <f t="shared" si="197"/>
        <v>0</v>
      </c>
      <c r="R143" s="144">
        <f t="shared" si="198"/>
        <v>0</v>
      </c>
      <c r="S143" s="144">
        <f t="shared" si="199"/>
        <v>0</v>
      </c>
      <c r="T143" s="144">
        <f t="shared" si="200"/>
        <v>0</v>
      </c>
      <c r="U143" s="144">
        <f t="shared" si="201"/>
        <v>0</v>
      </c>
      <c r="V143" s="338">
        <f t="shared" si="202"/>
        <v>0</v>
      </c>
      <c r="W143" s="338">
        <f t="shared" si="203"/>
        <v>0</v>
      </c>
      <c r="X143" s="338">
        <f t="shared" si="204"/>
        <v>0</v>
      </c>
      <c r="Y143" s="338">
        <f t="shared" si="205"/>
        <v>0</v>
      </c>
      <c r="Z143" s="338">
        <f t="shared" si="206"/>
        <v>0</v>
      </c>
      <c r="AA143" s="199">
        <v>6</v>
      </c>
      <c r="AB143" s="176">
        <v>21</v>
      </c>
      <c r="AC143" s="177">
        <v>1</v>
      </c>
      <c r="AD143" s="238">
        <f t="shared" si="207"/>
        <v>0</v>
      </c>
      <c r="AE143" s="238">
        <f t="shared" si="208"/>
        <v>0</v>
      </c>
      <c r="AF143" s="238">
        <f t="shared" si="209"/>
        <v>0</v>
      </c>
      <c r="AG143" s="238">
        <f>M143*VLOOKUP($AA143,'SKOR PPH'!$B$13:$D$21,3,FALSE)</f>
        <v>0</v>
      </c>
      <c r="AH143" s="238">
        <f>N143*VLOOKUP($AA143,'SKOR PPH'!$B$13:$D$21,3,FALSE)</f>
        <v>0</v>
      </c>
      <c r="AI143" s="238">
        <f>O143*VLOOKUP($AA143,'SKOR PPH'!$B$13:$D$21,3,FALSE)</f>
        <v>0</v>
      </c>
      <c r="AJ143" s="238">
        <f>P143*VLOOKUP($AA143,'SKOR PPH'!$B$13:$D$21,3,FALSE)</f>
        <v>0</v>
      </c>
      <c r="AK143" s="238">
        <f>$AD143*VLOOKUP($AA143,'SKOR PPH'!$B$13:$D$21,3,FALSE)</f>
        <v>0</v>
      </c>
      <c r="AL143" s="238">
        <f>R143*VLOOKUP($AA143,'SKOR PPH'!$B$13:$D$21,3,FALSE)</f>
        <v>0</v>
      </c>
      <c r="AM143" s="238">
        <f>S143*VLOOKUP($AA143,'SKOR PPH'!$B$13:$D$21,3,FALSE)</f>
        <v>0</v>
      </c>
      <c r="AN143" s="238">
        <f>T143*VLOOKUP($AA143,'SKOR PPH'!$B$13:$D$21,3,FALSE)</f>
        <v>0</v>
      </c>
      <c r="AO143" s="238">
        <f>U143*VLOOKUP($AA143,'SKOR PPH'!$B$13:$D$21,3,FALSE)</f>
        <v>0</v>
      </c>
      <c r="AP143" s="238">
        <f>$AE143*VLOOKUP($AA143,'SKOR PPH'!$B$13:$D$21,3,FALSE)</f>
        <v>0</v>
      </c>
      <c r="AQ143" s="238">
        <f>W143*VLOOKUP($AA143,'SKOR PPH'!$B$13:$D$21,3,FALSE)</f>
        <v>0</v>
      </c>
      <c r="AR143" s="238">
        <f>X143*VLOOKUP($AA143,'SKOR PPH'!$B$13:$D$21,3,FALSE)</f>
        <v>0</v>
      </c>
      <c r="AS143" s="238">
        <f>Y143*VLOOKUP($AA143,'SKOR PPH'!$B$13:$D$21,3,FALSE)</f>
        <v>0</v>
      </c>
      <c r="AT143" s="238">
        <f>Z143*VLOOKUP($AA143,'SKOR PPH'!$B$13:$D$21,3,FALSE)</f>
        <v>0</v>
      </c>
      <c r="AU143" s="238">
        <f>$AF143*VLOOKUP($AA143,'SKOR PPH'!$B$13:$D$21,3,FALSE)</f>
        <v>0</v>
      </c>
    </row>
    <row r="144" spans="2:47" ht="15" customHeight="1" x14ac:dyDescent="0.2">
      <c r="B144" s="199" t="s">
        <v>90</v>
      </c>
      <c r="C144" s="207">
        <v>100</v>
      </c>
      <c r="D144" s="149">
        <v>606</v>
      </c>
      <c r="E144" s="243">
        <v>19.5</v>
      </c>
      <c r="F144" s="149">
        <v>47.3</v>
      </c>
      <c r="G144" s="261">
        <v>34.9</v>
      </c>
      <c r="H144" s="208" t="s">
        <v>36</v>
      </c>
      <c r="I144" s="311">
        <v>0</v>
      </c>
      <c r="J144" s="311">
        <v>0</v>
      </c>
      <c r="K144" s="311">
        <v>0</v>
      </c>
      <c r="L144" s="144">
        <f t="shared" si="192"/>
        <v>0</v>
      </c>
      <c r="M144" s="144">
        <f t="shared" si="193"/>
        <v>0</v>
      </c>
      <c r="N144" s="144">
        <f t="shared" si="194"/>
        <v>0</v>
      </c>
      <c r="O144" s="144">
        <f t="shared" si="195"/>
        <v>0</v>
      </c>
      <c r="P144" s="144">
        <f t="shared" si="196"/>
        <v>0</v>
      </c>
      <c r="Q144" s="144">
        <f t="shared" si="197"/>
        <v>0</v>
      </c>
      <c r="R144" s="144">
        <f t="shared" si="198"/>
        <v>0</v>
      </c>
      <c r="S144" s="144">
        <f t="shared" si="199"/>
        <v>0</v>
      </c>
      <c r="T144" s="144">
        <f t="shared" si="200"/>
        <v>0</v>
      </c>
      <c r="U144" s="144">
        <f t="shared" si="201"/>
        <v>0</v>
      </c>
      <c r="V144" s="338">
        <f t="shared" si="202"/>
        <v>0</v>
      </c>
      <c r="W144" s="338">
        <f t="shared" si="203"/>
        <v>0</v>
      </c>
      <c r="X144" s="338">
        <f t="shared" si="204"/>
        <v>0</v>
      </c>
      <c r="Y144" s="338">
        <f t="shared" si="205"/>
        <v>0</v>
      </c>
      <c r="Z144" s="338">
        <f t="shared" si="206"/>
        <v>0</v>
      </c>
      <c r="AA144" s="199">
        <v>6</v>
      </c>
      <c r="AB144" s="176">
        <v>22</v>
      </c>
      <c r="AC144" s="177">
        <v>1</v>
      </c>
      <c r="AD144" s="238">
        <f t="shared" si="207"/>
        <v>0</v>
      </c>
      <c r="AE144" s="238">
        <f t="shared" si="208"/>
        <v>0</v>
      </c>
      <c r="AF144" s="238">
        <f t="shared" si="209"/>
        <v>0</v>
      </c>
      <c r="AG144" s="238">
        <f>M144*VLOOKUP($AA144,'SKOR PPH'!$B$13:$D$21,3,FALSE)</f>
        <v>0</v>
      </c>
      <c r="AH144" s="238">
        <f>N144*VLOOKUP($AA144,'SKOR PPH'!$B$13:$D$21,3,FALSE)</f>
        <v>0</v>
      </c>
      <c r="AI144" s="238">
        <f>O144*VLOOKUP($AA144,'SKOR PPH'!$B$13:$D$21,3,FALSE)</f>
        <v>0</v>
      </c>
      <c r="AJ144" s="238">
        <f>P144*VLOOKUP($AA144,'SKOR PPH'!$B$13:$D$21,3,FALSE)</f>
        <v>0</v>
      </c>
      <c r="AK144" s="238">
        <f>$AD144*VLOOKUP($AA144,'SKOR PPH'!$B$13:$D$21,3,FALSE)</f>
        <v>0</v>
      </c>
      <c r="AL144" s="238">
        <f>R144*VLOOKUP($AA144,'SKOR PPH'!$B$13:$D$21,3,FALSE)</f>
        <v>0</v>
      </c>
      <c r="AM144" s="238">
        <f>S144*VLOOKUP($AA144,'SKOR PPH'!$B$13:$D$21,3,FALSE)</f>
        <v>0</v>
      </c>
      <c r="AN144" s="238">
        <f>T144*VLOOKUP($AA144,'SKOR PPH'!$B$13:$D$21,3,FALSE)</f>
        <v>0</v>
      </c>
      <c r="AO144" s="238">
        <f>U144*VLOOKUP($AA144,'SKOR PPH'!$B$13:$D$21,3,FALSE)</f>
        <v>0</v>
      </c>
      <c r="AP144" s="238">
        <f>$AE144*VLOOKUP($AA144,'SKOR PPH'!$B$13:$D$21,3,FALSE)</f>
        <v>0</v>
      </c>
      <c r="AQ144" s="238">
        <f>W144*VLOOKUP($AA144,'SKOR PPH'!$B$13:$D$21,3,FALSE)</f>
        <v>0</v>
      </c>
      <c r="AR144" s="238">
        <f>X144*VLOOKUP($AA144,'SKOR PPH'!$B$13:$D$21,3,FALSE)</f>
        <v>0</v>
      </c>
      <c r="AS144" s="238">
        <f>Y144*VLOOKUP($AA144,'SKOR PPH'!$B$13:$D$21,3,FALSE)</f>
        <v>0</v>
      </c>
      <c r="AT144" s="238">
        <f>Z144*VLOOKUP($AA144,'SKOR PPH'!$B$13:$D$21,3,FALSE)</f>
        <v>0</v>
      </c>
      <c r="AU144" s="238">
        <f>$AF144*VLOOKUP($AA144,'SKOR PPH'!$B$13:$D$21,3,FALSE)</f>
        <v>0</v>
      </c>
    </row>
    <row r="145" spans="2:47" ht="15" customHeight="1" x14ac:dyDescent="0.2">
      <c r="B145" s="199" t="s">
        <v>327</v>
      </c>
      <c r="C145" s="207">
        <v>1000</v>
      </c>
      <c r="D145" s="149">
        <v>2723.6</v>
      </c>
      <c r="E145" s="243">
        <v>201.31</v>
      </c>
      <c r="F145" s="149">
        <v>40.06</v>
      </c>
      <c r="G145" s="261">
        <v>411.33</v>
      </c>
      <c r="H145" s="208" t="s">
        <v>200</v>
      </c>
      <c r="I145" s="311">
        <v>0</v>
      </c>
      <c r="J145" s="311">
        <v>0</v>
      </c>
      <c r="K145" s="311">
        <v>0</v>
      </c>
      <c r="L145" s="144">
        <f t="shared" si="192"/>
        <v>0</v>
      </c>
      <c r="M145" s="144">
        <f t="shared" si="193"/>
        <v>0</v>
      </c>
      <c r="N145" s="144">
        <f t="shared" si="194"/>
        <v>0</v>
      </c>
      <c r="O145" s="144">
        <f t="shared" si="195"/>
        <v>0</v>
      </c>
      <c r="P145" s="144">
        <f t="shared" si="196"/>
        <v>0</v>
      </c>
      <c r="Q145" s="144">
        <f t="shared" si="197"/>
        <v>0</v>
      </c>
      <c r="R145" s="144">
        <f t="shared" si="198"/>
        <v>0</v>
      </c>
      <c r="S145" s="144">
        <f t="shared" si="199"/>
        <v>0</v>
      </c>
      <c r="T145" s="144">
        <f t="shared" si="200"/>
        <v>0</v>
      </c>
      <c r="U145" s="144">
        <f t="shared" si="201"/>
        <v>0</v>
      </c>
      <c r="V145" s="338">
        <f t="shared" si="202"/>
        <v>0</v>
      </c>
      <c r="W145" s="338">
        <f t="shared" si="203"/>
        <v>0</v>
      </c>
      <c r="X145" s="338">
        <f t="shared" si="204"/>
        <v>0</v>
      </c>
      <c r="Y145" s="338">
        <f t="shared" si="205"/>
        <v>0</v>
      </c>
      <c r="Z145" s="338">
        <f t="shared" si="206"/>
        <v>0</v>
      </c>
      <c r="AA145" s="199">
        <v>6</v>
      </c>
      <c r="AB145" s="176">
        <v>22</v>
      </c>
      <c r="AC145" s="177">
        <v>1</v>
      </c>
      <c r="AD145" s="238">
        <f t="shared" si="207"/>
        <v>0</v>
      </c>
      <c r="AE145" s="238">
        <f t="shared" si="208"/>
        <v>0</v>
      </c>
      <c r="AF145" s="238">
        <f t="shared" si="209"/>
        <v>0</v>
      </c>
      <c r="AG145" s="238">
        <f>M145*VLOOKUP($AA145,'SKOR PPH'!$B$13:$D$21,3,FALSE)</f>
        <v>0</v>
      </c>
      <c r="AH145" s="238">
        <f>N145*VLOOKUP($AA145,'SKOR PPH'!$B$13:$D$21,3,FALSE)</f>
        <v>0</v>
      </c>
      <c r="AI145" s="238">
        <f>O145*VLOOKUP($AA145,'SKOR PPH'!$B$13:$D$21,3,FALSE)</f>
        <v>0</v>
      </c>
      <c r="AJ145" s="238">
        <f>P145*VLOOKUP($AA145,'SKOR PPH'!$B$13:$D$21,3,FALSE)</f>
        <v>0</v>
      </c>
      <c r="AK145" s="238">
        <f>$AD145*VLOOKUP($AA145,'SKOR PPH'!$B$13:$D$21,3,FALSE)</f>
        <v>0</v>
      </c>
      <c r="AL145" s="238">
        <f>R145*VLOOKUP($AA145,'SKOR PPH'!$B$13:$D$21,3,FALSE)</f>
        <v>0</v>
      </c>
      <c r="AM145" s="238">
        <f>S145*VLOOKUP($AA145,'SKOR PPH'!$B$13:$D$21,3,FALSE)</f>
        <v>0</v>
      </c>
      <c r="AN145" s="238">
        <f>T145*VLOOKUP($AA145,'SKOR PPH'!$B$13:$D$21,3,FALSE)</f>
        <v>0</v>
      </c>
      <c r="AO145" s="238">
        <f>U145*VLOOKUP($AA145,'SKOR PPH'!$B$13:$D$21,3,FALSE)</f>
        <v>0</v>
      </c>
      <c r="AP145" s="238">
        <f>$AE145*VLOOKUP($AA145,'SKOR PPH'!$B$13:$D$21,3,FALSE)</f>
        <v>0</v>
      </c>
      <c r="AQ145" s="238">
        <f>W145*VLOOKUP($AA145,'SKOR PPH'!$B$13:$D$21,3,FALSE)</f>
        <v>0</v>
      </c>
      <c r="AR145" s="238">
        <f>X145*VLOOKUP($AA145,'SKOR PPH'!$B$13:$D$21,3,FALSE)</f>
        <v>0</v>
      </c>
      <c r="AS145" s="238">
        <f>Y145*VLOOKUP($AA145,'SKOR PPH'!$B$13:$D$21,3,FALSE)</f>
        <v>0</v>
      </c>
      <c r="AT145" s="238">
        <f>Z145*VLOOKUP($AA145,'SKOR PPH'!$B$13:$D$21,3,FALSE)</f>
        <v>0</v>
      </c>
      <c r="AU145" s="238">
        <f>$AF145*VLOOKUP($AA145,'SKOR PPH'!$B$13:$D$21,3,FALSE)</f>
        <v>0</v>
      </c>
    </row>
    <row r="146" spans="2:47" ht="15" customHeight="1" x14ac:dyDescent="0.2">
      <c r="B146" s="199" t="s">
        <v>328</v>
      </c>
      <c r="C146" s="207">
        <v>1000</v>
      </c>
      <c r="D146" s="149">
        <v>800</v>
      </c>
      <c r="E146" s="243">
        <v>109</v>
      </c>
      <c r="F146" s="149">
        <v>47</v>
      </c>
      <c r="G146" s="261">
        <v>8</v>
      </c>
      <c r="H146" s="208" t="s">
        <v>200</v>
      </c>
      <c r="I146" s="311">
        <v>1.000958971750605E-2</v>
      </c>
      <c r="J146" s="311">
        <v>6.7828896648602865E-2</v>
      </c>
      <c r="K146" s="311">
        <v>7.7838486366108933E-2</v>
      </c>
      <c r="L146" s="144">
        <f t="shared" si="192"/>
        <v>1.4299413882151502</v>
      </c>
      <c r="M146" s="144">
        <f t="shared" si="193"/>
        <v>1.1439531105721201</v>
      </c>
      <c r="N146" s="144">
        <f t="shared" si="194"/>
        <v>0.15586361131545137</v>
      </c>
      <c r="O146" s="144">
        <f t="shared" si="195"/>
        <v>6.720724524611206E-2</v>
      </c>
      <c r="P146" s="144">
        <f t="shared" si="196"/>
        <v>1.14395311057212E-2</v>
      </c>
      <c r="Q146" s="144">
        <f t="shared" si="197"/>
        <v>9.6898423783718375</v>
      </c>
      <c r="R146" s="144">
        <f t="shared" si="198"/>
        <v>7.7518739026974703</v>
      </c>
      <c r="S146" s="144">
        <f t="shared" si="199"/>
        <v>1.0561928192425303</v>
      </c>
      <c r="T146" s="144">
        <f t="shared" si="200"/>
        <v>0.45542259178347638</v>
      </c>
      <c r="U146" s="144">
        <f t="shared" si="201"/>
        <v>7.7518739026974703E-2</v>
      </c>
      <c r="V146" s="338">
        <f t="shared" si="202"/>
        <v>11.119783766586991</v>
      </c>
      <c r="W146" s="338">
        <f t="shared" si="203"/>
        <v>8.8958270132695922</v>
      </c>
      <c r="X146" s="338">
        <f t="shared" si="204"/>
        <v>1.212056430557982</v>
      </c>
      <c r="Y146" s="338">
        <f t="shared" si="205"/>
        <v>0.52262983702958854</v>
      </c>
      <c r="Z146" s="338">
        <f t="shared" si="206"/>
        <v>8.895827013269593E-2</v>
      </c>
      <c r="AA146" s="199">
        <v>6</v>
      </c>
      <c r="AB146" s="176">
        <v>19</v>
      </c>
      <c r="AC146" s="177">
        <v>0.35</v>
      </c>
      <c r="AD146" s="238">
        <f t="shared" si="207"/>
        <v>0.50047948587530255</v>
      </c>
      <c r="AE146" s="238">
        <f t="shared" si="208"/>
        <v>3.3914448324301429</v>
      </c>
      <c r="AF146" s="238">
        <f t="shared" si="209"/>
        <v>3.8919243183054468</v>
      </c>
      <c r="AG146" s="238">
        <f>M146*VLOOKUP($AA146,'SKOR PPH'!$B$13:$D$21,3,FALSE)</f>
        <v>1.7556248387950326</v>
      </c>
      <c r="AH146" s="238">
        <f>N146*VLOOKUP($AA146,'SKOR PPH'!$B$13:$D$21,3,FALSE)</f>
        <v>0.2392038842858232</v>
      </c>
      <c r="AI146" s="238">
        <f>O146*VLOOKUP($AA146,'SKOR PPH'!$B$13:$D$21,3,FALSE)</f>
        <v>0.10314295927920818</v>
      </c>
      <c r="AJ146" s="238">
        <f>P146*VLOOKUP($AA146,'SKOR PPH'!$B$13:$D$21,3,FALSE)</f>
        <v>1.7556248387950325E-2</v>
      </c>
      <c r="AK146" s="238">
        <f>$AD146*VLOOKUP($AA146,'SKOR PPH'!$B$13:$D$21,3,FALSE)</f>
        <v>0.76808586697282677</v>
      </c>
      <c r="AL146" s="238">
        <f>R146*VLOOKUP($AA146,'SKOR PPH'!$B$13:$D$21,3,FALSE)</f>
        <v>11.896800878469808</v>
      </c>
      <c r="AM146" s="238">
        <f>S146*VLOOKUP($AA146,'SKOR PPH'!$B$13:$D$21,3,FALSE)</f>
        <v>1.6209391196915113</v>
      </c>
      <c r="AN146" s="238">
        <f>T146*VLOOKUP($AA146,'SKOR PPH'!$B$13:$D$21,3,FALSE)</f>
        <v>0.69893705161010122</v>
      </c>
      <c r="AO146" s="238">
        <f>U146*VLOOKUP($AA146,'SKOR PPH'!$B$13:$D$21,3,FALSE)</f>
        <v>0.11896800878469807</v>
      </c>
      <c r="AP146" s="238">
        <f>$AE146*VLOOKUP($AA146,'SKOR PPH'!$B$13:$D$21,3,FALSE)</f>
        <v>5.2048503843305403</v>
      </c>
      <c r="AQ146" s="238">
        <f>W146*VLOOKUP($AA146,'SKOR PPH'!$B$13:$D$21,3,FALSE)</f>
        <v>13.652425717264842</v>
      </c>
      <c r="AR146" s="238">
        <f>X146*VLOOKUP($AA146,'SKOR PPH'!$B$13:$D$21,3,FALSE)</f>
        <v>1.8601430039773348</v>
      </c>
      <c r="AS146" s="238">
        <f>Y146*VLOOKUP($AA146,'SKOR PPH'!$B$13:$D$21,3,FALSE)</f>
        <v>0.80208001088930947</v>
      </c>
      <c r="AT146" s="238">
        <f>Z146*VLOOKUP($AA146,'SKOR PPH'!$B$13:$D$21,3,FALSE)</f>
        <v>0.13652425717264843</v>
      </c>
      <c r="AU146" s="238">
        <f>$AF146*VLOOKUP($AA146,'SKOR PPH'!$B$13:$D$21,3,FALSE)</f>
        <v>5.972936251303369</v>
      </c>
    </row>
    <row r="147" spans="2:47" ht="15" customHeight="1" x14ac:dyDescent="0.2">
      <c r="B147" s="199" t="s">
        <v>329</v>
      </c>
      <c r="C147" s="207">
        <v>1000</v>
      </c>
      <c r="D147" s="149">
        <v>1430</v>
      </c>
      <c r="E147" s="243">
        <v>120</v>
      </c>
      <c r="F147" s="149">
        <v>55</v>
      </c>
      <c r="G147" s="261">
        <v>114</v>
      </c>
      <c r="H147" s="208" t="s">
        <v>200</v>
      </c>
      <c r="I147" s="311">
        <v>6.9877574575170215E-3</v>
      </c>
      <c r="J147" s="311">
        <v>3.627264734112353E-2</v>
      </c>
      <c r="K147" s="311">
        <v>4.3260404798640545E-2</v>
      </c>
      <c r="L147" s="144">
        <f t="shared" si="192"/>
        <v>0.99825106535957453</v>
      </c>
      <c r="M147" s="144">
        <f t="shared" si="193"/>
        <v>1.4274990234641916</v>
      </c>
      <c r="N147" s="144">
        <f t="shared" si="194"/>
        <v>0.11979012784314894</v>
      </c>
      <c r="O147" s="144">
        <f t="shared" si="195"/>
        <v>5.4903808594776601E-2</v>
      </c>
      <c r="P147" s="144">
        <f t="shared" si="196"/>
        <v>0.11380062145099148</v>
      </c>
      <c r="Q147" s="144">
        <f t="shared" si="197"/>
        <v>5.1818067630176472</v>
      </c>
      <c r="R147" s="144">
        <f t="shared" si="198"/>
        <v>7.4099836711152358</v>
      </c>
      <c r="S147" s="144">
        <f t="shared" si="199"/>
        <v>0.62181681156211766</v>
      </c>
      <c r="T147" s="144">
        <f t="shared" si="200"/>
        <v>0.28499937196597058</v>
      </c>
      <c r="U147" s="144">
        <f t="shared" si="201"/>
        <v>0.59072597098401169</v>
      </c>
      <c r="V147" s="338">
        <f t="shared" si="202"/>
        <v>6.1800578283772207</v>
      </c>
      <c r="W147" s="338">
        <f t="shared" si="203"/>
        <v>8.8374826945794247</v>
      </c>
      <c r="X147" s="338">
        <f t="shared" si="204"/>
        <v>0.74160693940526645</v>
      </c>
      <c r="Y147" s="338">
        <f t="shared" si="205"/>
        <v>0.33990318056074714</v>
      </c>
      <c r="Z147" s="338">
        <f t="shared" si="206"/>
        <v>0.70452659243500315</v>
      </c>
      <c r="AA147" s="199">
        <v>6</v>
      </c>
      <c r="AB147" s="176">
        <v>19</v>
      </c>
      <c r="AC147" s="177">
        <v>0.5</v>
      </c>
      <c r="AD147" s="238">
        <f t="shared" si="207"/>
        <v>0.49912553267978726</v>
      </c>
      <c r="AE147" s="238">
        <f t="shared" si="208"/>
        <v>2.5909033815088236</v>
      </c>
      <c r="AF147" s="238">
        <f t="shared" si="209"/>
        <v>3.0900289141886104</v>
      </c>
      <c r="AG147" s="238">
        <f>M147*VLOOKUP($AA147,'SKOR PPH'!$B$13:$D$21,3,FALSE)</f>
        <v>2.1907827513104947</v>
      </c>
      <c r="AH147" s="238">
        <f>N147*VLOOKUP($AA147,'SKOR PPH'!$B$13:$D$21,3,FALSE)</f>
        <v>0.18384190920088067</v>
      </c>
      <c r="AI147" s="238">
        <f>O147*VLOOKUP($AA147,'SKOR PPH'!$B$13:$D$21,3,FALSE)</f>
        <v>8.4260875050403652E-2</v>
      </c>
      <c r="AJ147" s="238">
        <f>P147*VLOOKUP($AA147,'SKOR PPH'!$B$13:$D$21,3,FALSE)</f>
        <v>0.17464981374083663</v>
      </c>
      <c r="AK147" s="238">
        <f>$AD147*VLOOKUP($AA147,'SKOR PPH'!$B$13:$D$21,3,FALSE)</f>
        <v>0.76600795500366947</v>
      </c>
      <c r="AL147" s="238">
        <f>R147*VLOOKUP($AA147,'SKOR PPH'!$B$13:$D$21,3,FALSE)</f>
        <v>11.372101940060553</v>
      </c>
      <c r="AM147" s="238">
        <f>S147*VLOOKUP($AA147,'SKOR PPH'!$B$13:$D$21,3,FALSE)</f>
        <v>0.95430226070438195</v>
      </c>
      <c r="AN147" s="238">
        <f>T147*VLOOKUP($AA147,'SKOR PPH'!$B$13:$D$21,3,FALSE)</f>
        <v>0.43738853615617507</v>
      </c>
      <c r="AO147" s="238">
        <f>U147*VLOOKUP($AA147,'SKOR PPH'!$B$13:$D$21,3,FALSE)</f>
        <v>0.90658714766916271</v>
      </c>
      <c r="AP147" s="238">
        <f>$AE147*VLOOKUP($AA147,'SKOR PPH'!$B$13:$D$21,3,FALSE)</f>
        <v>3.9762594196015915</v>
      </c>
      <c r="AQ147" s="238">
        <f>W147*VLOOKUP($AA147,'SKOR PPH'!$B$13:$D$21,3,FALSE)</f>
        <v>13.562884691371043</v>
      </c>
      <c r="AR147" s="238">
        <f>X147*VLOOKUP($AA147,'SKOR PPH'!$B$13:$D$21,3,FALSE)</f>
        <v>1.1381441699052623</v>
      </c>
      <c r="AS147" s="238">
        <f>Y147*VLOOKUP($AA147,'SKOR PPH'!$B$13:$D$21,3,FALSE)</f>
        <v>0.52164941120657859</v>
      </c>
      <c r="AT147" s="238">
        <f>Z147*VLOOKUP($AA147,'SKOR PPH'!$B$13:$D$21,3,FALSE)</f>
        <v>1.0812369614099993</v>
      </c>
      <c r="AU147" s="238">
        <f>$AF147*VLOOKUP($AA147,'SKOR PPH'!$B$13:$D$21,3,FALSE)</f>
        <v>4.7422673746052606</v>
      </c>
    </row>
    <row r="148" spans="2:47" ht="15" customHeight="1" x14ac:dyDescent="0.2">
      <c r="B148" s="199" t="s">
        <v>330</v>
      </c>
      <c r="C148" s="207">
        <v>100</v>
      </c>
      <c r="D148" s="149">
        <v>166</v>
      </c>
      <c r="E148" s="243">
        <v>10.4</v>
      </c>
      <c r="F148" s="149">
        <v>4.9000000000000004</v>
      </c>
      <c r="G148" s="261">
        <v>24.1</v>
      </c>
      <c r="H148" s="208" t="s">
        <v>36</v>
      </c>
      <c r="I148" s="311">
        <v>0</v>
      </c>
      <c r="J148" s="311">
        <v>0</v>
      </c>
      <c r="K148" s="311">
        <v>0</v>
      </c>
      <c r="L148" s="144">
        <f t="shared" si="192"/>
        <v>0</v>
      </c>
      <c r="M148" s="144">
        <f t="shared" si="193"/>
        <v>0</v>
      </c>
      <c r="N148" s="144">
        <f t="shared" si="194"/>
        <v>0</v>
      </c>
      <c r="O148" s="144">
        <f t="shared" si="195"/>
        <v>0</v>
      </c>
      <c r="P148" s="144">
        <f t="shared" si="196"/>
        <v>0</v>
      </c>
      <c r="Q148" s="144">
        <f t="shared" si="197"/>
        <v>0</v>
      </c>
      <c r="R148" s="144">
        <f t="shared" si="198"/>
        <v>0</v>
      </c>
      <c r="S148" s="144">
        <f t="shared" si="199"/>
        <v>0</v>
      </c>
      <c r="T148" s="144">
        <f t="shared" si="200"/>
        <v>0</v>
      </c>
      <c r="U148" s="144">
        <f t="shared" si="201"/>
        <v>0</v>
      </c>
      <c r="V148" s="338">
        <f t="shared" si="202"/>
        <v>0</v>
      </c>
      <c r="W148" s="338">
        <f t="shared" si="203"/>
        <v>0</v>
      </c>
      <c r="X148" s="338">
        <f t="shared" si="204"/>
        <v>0</v>
      </c>
      <c r="Y148" s="338">
        <f t="shared" si="205"/>
        <v>0</v>
      </c>
      <c r="Z148" s="338">
        <f t="shared" si="206"/>
        <v>0</v>
      </c>
      <c r="AA148" s="199">
        <v>6</v>
      </c>
      <c r="AB148" s="176">
        <v>19</v>
      </c>
      <c r="AC148" s="177">
        <v>0.2</v>
      </c>
      <c r="AD148" s="238">
        <f t="shared" si="207"/>
        <v>0</v>
      </c>
      <c r="AE148" s="238">
        <f t="shared" si="208"/>
        <v>0</v>
      </c>
      <c r="AF148" s="238">
        <f t="shared" si="209"/>
        <v>0</v>
      </c>
      <c r="AG148" s="238">
        <f>M148*VLOOKUP($AA148,'SKOR PPH'!$B$13:$D$21,3,FALSE)</f>
        <v>0</v>
      </c>
      <c r="AH148" s="238">
        <f>N148*VLOOKUP($AA148,'SKOR PPH'!$B$13:$D$21,3,FALSE)</f>
        <v>0</v>
      </c>
      <c r="AI148" s="238">
        <f>O148*VLOOKUP($AA148,'SKOR PPH'!$B$13:$D$21,3,FALSE)</f>
        <v>0</v>
      </c>
      <c r="AJ148" s="238">
        <f>P148*VLOOKUP($AA148,'SKOR PPH'!$B$13:$D$21,3,FALSE)</f>
        <v>0</v>
      </c>
      <c r="AK148" s="238">
        <f>$AD148*VLOOKUP($AA148,'SKOR PPH'!$B$13:$D$21,3,FALSE)</f>
        <v>0</v>
      </c>
      <c r="AL148" s="238">
        <f>R148*VLOOKUP($AA148,'SKOR PPH'!$B$13:$D$21,3,FALSE)</f>
        <v>0</v>
      </c>
      <c r="AM148" s="238">
        <f>S148*VLOOKUP($AA148,'SKOR PPH'!$B$13:$D$21,3,FALSE)</f>
        <v>0</v>
      </c>
      <c r="AN148" s="238">
        <f>T148*VLOOKUP($AA148,'SKOR PPH'!$B$13:$D$21,3,FALSE)</f>
        <v>0</v>
      </c>
      <c r="AO148" s="238">
        <f>U148*VLOOKUP($AA148,'SKOR PPH'!$B$13:$D$21,3,FALSE)</f>
        <v>0</v>
      </c>
      <c r="AP148" s="238">
        <f>$AE148*VLOOKUP($AA148,'SKOR PPH'!$B$13:$D$21,3,FALSE)</f>
        <v>0</v>
      </c>
      <c r="AQ148" s="238">
        <f>W148*VLOOKUP($AA148,'SKOR PPH'!$B$13:$D$21,3,FALSE)</f>
        <v>0</v>
      </c>
      <c r="AR148" s="238">
        <f>X148*VLOOKUP($AA148,'SKOR PPH'!$B$13:$D$21,3,FALSE)</f>
        <v>0</v>
      </c>
      <c r="AS148" s="238">
        <f>Y148*VLOOKUP($AA148,'SKOR PPH'!$B$13:$D$21,3,FALSE)</f>
        <v>0</v>
      </c>
      <c r="AT148" s="238">
        <f>Z148*VLOOKUP($AA148,'SKOR PPH'!$B$13:$D$21,3,FALSE)</f>
        <v>0</v>
      </c>
      <c r="AU148" s="238">
        <f>$AF148*VLOOKUP($AA148,'SKOR PPH'!$B$13:$D$21,3,FALSE)</f>
        <v>0</v>
      </c>
    </row>
    <row r="149" spans="2:47" ht="15" customHeight="1" x14ac:dyDescent="0.2">
      <c r="B149" s="199" t="s">
        <v>331</v>
      </c>
      <c r="C149" s="207">
        <v>100</v>
      </c>
      <c r="D149" s="149">
        <v>187</v>
      </c>
      <c r="E149" s="243">
        <v>13</v>
      </c>
      <c r="F149" s="149">
        <v>6</v>
      </c>
      <c r="G149" s="261">
        <v>22.6</v>
      </c>
      <c r="H149" s="208" t="s">
        <v>36</v>
      </c>
      <c r="I149" s="311">
        <v>0</v>
      </c>
      <c r="J149" s="311">
        <v>0</v>
      </c>
      <c r="K149" s="311">
        <v>0</v>
      </c>
      <c r="L149" s="144">
        <f t="shared" si="192"/>
        <v>0</v>
      </c>
      <c r="M149" s="144">
        <f t="shared" si="193"/>
        <v>0</v>
      </c>
      <c r="N149" s="144">
        <f t="shared" si="194"/>
        <v>0</v>
      </c>
      <c r="O149" s="144">
        <f t="shared" si="195"/>
        <v>0</v>
      </c>
      <c r="P149" s="144">
        <f t="shared" si="196"/>
        <v>0</v>
      </c>
      <c r="Q149" s="144">
        <f t="shared" si="197"/>
        <v>0</v>
      </c>
      <c r="R149" s="144">
        <f t="shared" si="198"/>
        <v>0</v>
      </c>
      <c r="S149" s="144">
        <f t="shared" si="199"/>
        <v>0</v>
      </c>
      <c r="T149" s="144">
        <f t="shared" si="200"/>
        <v>0</v>
      </c>
      <c r="U149" s="144">
        <f t="shared" si="201"/>
        <v>0</v>
      </c>
      <c r="V149" s="338">
        <f t="shared" si="202"/>
        <v>0</v>
      </c>
      <c r="W149" s="338">
        <f t="shared" si="203"/>
        <v>0</v>
      </c>
      <c r="X149" s="338">
        <f t="shared" si="204"/>
        <v>0</v>
      </c>
      <c r="Y149" s="338">
        <f t="shared" si="205"/>
        <v>0</v>
      </c>
      <c r="Z149" s="338">
        <f t="shared" si="206"/>
        <v>0</v>
      </c>
      <c r="AA149" s="199">
        <v>6</v>
      </c>
      <c r="AB149" s="176">
        <v>19</v>
      </c>
      <c r="AC149" s="177">
        <v>8</v>
      </c>
      <c r="AD149" s="238">
        <f t="shared" si="207"/>
        <v>0</v>
      </c>
      <c r="AE149" s="238">
        <f t="shared" si="208"/>
        <v>0</v>
      </c>
      <c r="AF149" s="238">
        <f t="shared" si="209"/>
        <v>0</v>
      </c>
      <c r="AG149" s="238">
        <f>M149*VLOOKUP($AA149,'SKOR PPH'!$B$13:$D$21,3,FALSE)</f>
        <v>0</v>
      </c>
      <c r="AH149" s="238">
        <f>N149*VLOOKUP($AA149,'SKOR PPH'!$B$13:$D$21,3,FALSE)</f>
        <v>0</v>
      </c>
      <c r="AI149" s="238">
        <f>O149*VLOOKUP($AA149,'SKOR PPH'!$B$13:$D$21,3,FALSE)</f>
        <v>0</v>
      </c>
      <c r="AJ149" s="238">
        <f>P149*VLOOKUP($AA149,'SKOR PPH'!$B$13:$D$21,3,FALSE)</f>
        <v>0</v>
      </c>
      <c r="AK149" s="238">
        <f>$AD149*VLOOKUP($AA149,'SKOR PPH'!$B$13:$D$21,3,FALSE)</f>
        <v>0</v>
      </c>
      <c r="AL149" s="238">
        <f>R149*VLOOKUP($AA149,'SKOR PPH'!$B$13:$D$21,3,FALSE)</f>
        <v>0</v>
      </c>
      <c r="AM149" s="238">
        <f>S149*VLOOKUP($AA149,'SKOR PPH'!$B$13:$D$21,3,FALSE)</f>
        <v>0</v>
      </c>
      <c r="AN149" s="238">
        <f>T149*VLOOKUP($AA149,'SKOR PPH'!$B$13:$D$21,3,FALSE)</f>
        <v>0</v>
      </c>
      <c r="AO149" s="238">
        <f>U149*VLOOKUP($AA149,'SKOR PPH'!$B$13:$D$21,3,FALSE)</f>
        <v>0</v>
      </c>
      <c r="AP149" s="238">
        <f>$AE149*VLOOKUP($AA149,'SKOR PPH'!$B$13:$D$21,3,FALSE)</f>
        <v>0</v>
      </c>
      <c r="AQ149" s="238">
        <f>W149*VLOOKUP($AA149,'SKOR PPH'!$B$13:$D$21,3,FALSE)</f>
        <v>0</v>
      </c>
      <c r="AR149" s="238">
        <f>X149*VLOOKUP($AA149,'SKOR PPH'!$B$13:$D$21,3,FALSE)</f>
        <v>0</v>
      </c>
      <c r="AS149" s="238">
        <f>Y149*VLOOKUP($AA149,'SKOR PPH'!$B$13:$D$21,3,FALSE)</f>
        <v>0</v>
      </c>
      <c r="AT149" s="238">
        <f>Z149*VLOOKUP($AA149,'SKOR PPH'!$B$13:$D$21,3,FALSE)</f>
        <v>0</v>
      </c>
      <c r="AU149" s="238">
        <f>$AF149*VLOOKUP($AA149,'SKOR PPH'!$B$13:$D$21,3,FALSE)</f>
        <v>0</v>
      </c>
    </row>
    <row r="150" spans="2:47" ht="15" customHeight="1" x14ac:dyDescent="0.2">
      <c r="B150" s="199" t="s">
        <v>33</v>
      </c>
      <c r="C150" s="207">
        <v>100</v>
      </c>
      <c r="D150" s="149">
        <v>290.8</v>
      </c>
      <c r="E150" s="243">
        <v>16.149999999999999</v>
      </c>
      <c r="F150" s="149">
        <v>10.45</v>
      </c>
      <c r="G150" s="261">
        <v>43.2</v>
      </c>
      <c r="H150" s="208" t="s">
        <v>36</v>
      </c>
      <c r="I150" s="311">
        <v>0</v>
      </c>
      <c r="J150" s="311">
        <v>0</v>
      </c>
      <c r="K150" s="311">
        <v>0</v>
      </c>
      <c r="L150" s="144">
        <f t="shared" si="192"/>
        <v>0</v>
      </c>
      <c r="M150" s="144">
        <f t="shared" si="193"/>
        <v>0</v>
      </c>
      <c r="N150" s="144">
        <f t="shared" si="194"/>
        <v>0</v>
      </c>
      <c r="O150" s="144">
        <f t="shared" si="195"/>
        <v>0</v>
      </c>
      <c r="P150" s="144">
        <f t="shared" si="196"/>
        <v>0</v>
      </c>
      <c r="Q150" s="144">
        <f t="shared" si="197"/>
        <v>0</v>
      </c>
      <c r="R150" s="144">
        <f t="shared" si="198"/>
        <v>0</v>
      </c>
      <c r="S150" s="144">
        <f t="shared" si="199"/>
        <v>0</v>
      </c>
      <c r="T150" s="144">
        <f t="shared" si="200"/>
        <v>0</v>
      </c>
      <c r="U150" s="144">
        <f t="shared" si="201"/>
        <v>0</v>
      </c>
      <c r="V150" s="338">
        <f t="shared" si="202"/>
        <v>0</v>
      </c>
      <c r="W150" s="338">
        <f t="shared" si="203"/>
        <v>0</v>
      </c>
      <c r="X150" s="338">
        <f t="shared" si="204"/>
        <v>0</v>
      </c>
      <c r="Y150" s="338">
        <f t="shared" si="205"/>
        <v>0</v>
      </c>
      <c r="Z150" s="338">
        <f t="shared" si="206"/>
        <v>0</v>
      </c>
      <c r="AA150" s="199">
        <v>6</v>
      </c>
      <c r="AB150" s="176">
        <v>19</v>
      </c>
      <c r="AC150" s="177">
        <v>1</v>
      </c>
      <c r="AD150" s="238">
        <f t="shared" si="207"/>
        <v>0</v>
      </c>
      <c r="AE150" s="238">
        <f t="shared" si="208"/>
        <v>0</v>
      </c>
      <c r="AF150" s="238">
        <f t="shared" si="209"/>
        <v>0</v>
      </c>
      <c r="AG150" s="238">
        <f>M150*VLOOKUP($AA150,'SKOR PPH'!$B$13:$D$21,3,FALSE)</f>
        <v>0</v>
      </c>
      <c r="AH150" s="238">
        <f>N150*VLOOKUP($AA150,'SKOR PPH'!$B$13:$D$21,3,FALSE)</f>
        <v>0</v>
      </c>
      <c r="AI150" s="238">
        <f>O150*VLOOKUP($AA150,'SKOR PPH'!$B$13:$D$21,3,FALSE)</f>
        <v>0</v>
      </c>
      <c r="AJ150" s="238">
        <f>P150*VLOOKUP($AA150,'SKOR PPH'!$B$13:$D$21,3,FALSE)</f>
        <v>0</v>
      </c>
      <c r="AK150" s="238">
        <f>$AD150*VLOOKUP($AA150,'SKOR PPH'!$B$13:$D$21,3,FALSE)</f>
        <v>0</v>
      </c>
      <c r="AL150" s="238">
        <f>R150*VLOOKUP($AA150,'SKOR PPH'!$B$13:$D$21,3,FALSE)</f>
        <v>0</v>
      </c>
      <c r="AM150" s="238">
        <f>S150*VLOOKUP($AA150,'SKOR PPH'!$B$13:$D$21,3,FALSE)</f>
        <v>0</v>
      </c>
      <c r="AN150" s="238">
        <f>T150*VLOOKUP($AA150,'SKOR PPH'!$B$13:$D$21,3,FALSE)</f>
        <v>0</v>
      </c>
      <c r="AO150" s="238">
        <f>U150*VLOOKUP($AA150,'SKOR PPH'!$B$13:$D$21,3,FALSE)</f>
        <v>0</v>
      </c>
      <c r="AP150" s="238">
        <f>$AE150*VLOOKUP($AA150,'SKOR PPH'!$B$13:$D$21,3,FALSE)</f>
        <v>0</v>
      </c>
      <c r="AQ150" s="238">
        <f>W150*VLOOKUP($AA150,'SKOR PPH'!$B$13:$D$21,3,FALSE)</f>
        <v>0</v>
      </c>
      <c r="AR150" s="238">
        <f>X150*VLOOKUP($AA150,'SKOR PPH'!$B$13:$D$21,3,FALSE)</f>
        <v>0</v>
      </c>
      <c r="AS150" s="238">
        <f>Y150*VLOOKUP($AA150,'SKOR PPH'!$B$13:$D$21,3,FALSE)</f>
        <v>0</v>
      </c>
      <c r="AT150" s="238">
        <f>Z150*VLOOKUP($AA150,'SKOR PPH'!$B$13:$D$21,3,FALSE)</f>
        <v>0</v>
      </c>
      <c r="AU150" s="238">
        <f>$AF150*VLOOKUP($AA150,'SKOR PPH'!$B$13:$D$21,3,FALSE)</f>
        <v>0</v>
      </c>
    </row>
    <row r="151" spans="2:47" ht="15" customHeight="1" x14ac:dyDescent="0.2">
      <c r="B151" s="211"/>
      <c r="C151" s="187"/>
      <c r="D151" s="188"/>
      <c r="E151" s="248"/>
      <c r="F151" s="188"/>
      <c r="G151" s="188"/>
      <c r="H151" s="267"/>
      <c r="I151" s="318"/>
      <c r="J151" s="318"/>
      <c r="K151" s="318"/>
      <c r="L151" s="127"/>
      <c r="M151" s="182"/>
      <c r="N151" s="127"/>
      <c r="O151" s="189"/>
      <c r="P151" s="189"/>
      <c r="Q151" s="127"/>
      <c r="R151" s="182"/>
      <c r="S151" s="127"/>
      <c r="T151" s="189"/>
      <c r="U151" s="189"/>
      <c r="V151" s="127"/>
      <c r="W151" s="182"/>
      <c r="X151" s="127"/>
      <c r="Y151" s="189"/>
      <c r="Z151" s="189"/>
      <c r="AA151" s="190"/>
      <c r="AB151" s="190"/>
      <c r="AC151" s="191"/>
      <c r="AD151" s="236"/>
      <c r="AE151" s="236"/>
      <c r="AF151" s="236"/>
      <c r="AG151" s="236"/>
      <c r="AH151" s="236"/>
      <c r="AI151" s="236"/>
      <c r="AJ151" s="236"/>
      <c r="AK151" s="236"/>
      <c r="AL151" s="236"/>
      <c r="AM151" s="236"/>
      <c r="AN151" s="236"/>
      <c r="AO151" s="236"/>
      <c r="AP151" s="236"/>
      <c r="AQ151" s="236"/>
      <c r="AR151" s="236"/>
      <c r="AS151" s="236"/>
      <c r="AT151" s="236"/>
      <c r="AU151" s="236"/>
    </row>
    <row r="152" spans="2:47" ht="15" customHeight="1" x14ac:dyDescent="0.2">
      <c r="B152" s="186" t="s">
        <v>91</v>
      </c>
      <c r="C152" s="187"/>
      <c r="D152" s="188"/>
      <c r="E152" s="248"/>
      <c r="F152" s="188"/>
      <c r="G152" s="188"/>
      <c r="H152" s="267"/>
      <c r="I152" s="319"/>
      <c r="J152" s="319"/>
      <c r="K152" s="319"/>
      <c r="L152" s="170"/>
      <c r="M152" s="170"/>
      <c r="N152" s="170"/>
      <c r="O152" s="171"/>
      <c r="P152" s="171"/>
      <c r="Q152" s="170"/>
      <c r="R152" s="170"/>
      <c r="S152" s="170"/>
      <c r="T152" s="171"/>
      <c r="U152" s="171"/>
      <c r="V152" s="170"/>
      <c r="W152" s="170"/>
      <c r="X152" s="170"/>
      <c r="Y152" s="171"/>
      <c r="Z152" s="171"/>
      <c r="AA152" s="190"/>
      <c r="AB152" s="190"/>
      <c r="AC152" s="191"/>
      <c r="AD152" s="236"/>
      <c r="AE152" s="236"/>
      <c r="AF152" s="236"/>
      <c r="AG152" s="236"/>
      <c r="AH152" s="236"/>
      <c r="AI152" s="236"/>
      <c r="AJ152" s="236"/>
      <c r="AK152" s="236"/>
      <c r="AL152" s="236"/>
      <c r="AM152" s="236"/>
      <c r="AN152" s="236"/>
      <c r="AO152" s="236"/>
      <c r="AP152" s="236"/>
      <c r="AQ152" s="236"/>
      <c r="AR152" s="236"/>
      <c r="AS152" s="236"/>
      <c r="AT152" s="236"/>
      <c r="AU152" s="236"/>
    </row>
    <row r="153" spans="2:47" ht="15" customHeight="1" x14ac:dyDescent="0.2">
      <c r="B153" s="199" t="s">
        <v>235</v>
      </c>
      <c r="C153" s="207">
        <v>1000</v>
      </c>
      <c r="D153" s="149">
        <v>311.3</v>
      </c>
      <c r="E153" s="243">
        <v>5.29</v>
      </c>
      <c r="F153" s="149">
        <v>1.6</v>
      </c>
      <c r="G153" s="261">
        <v>78.3</v>
      </c>
      <c r="H153" s="208" t="s">
        <v>200</v>
      </c>
      <c r="I153" s="311">
        <v>1.0449589127036016E-2</v>
      </c>
      <c r="J153" s="311">
        <v>3.8870772984477615E-2</v>
      </c>
      <c r="K153" s="311">
        <v>4.932036211151361E-2</v>
      </c>
      <c r="L153" s="144">
        <f t="shared" ref="L153:L175" si="210">$I153*C153/7</f>
        <v>1.4927984467194306</v>
      </c>
      <c r="M153" s="144">
        <f t="shared" ref="M153:M175" si="211">$I153*D153/7</f>
        <v>0.46470815646375885</v>
      </c>
      <c r="N153" s="144">
        <f t="shared" ref="N153:N175" si="212">$I153*E153/7</f>
        <v>7.8969037831457898E-3</v>
      </c>
      <c r="O153" s="144">
        <f t="shared" ref="O153:O175" si="213">$I153*F153/7</f>
        <v>2.3884775147510894E-3</v>
      </c>
      <c r="P153" s="144">
        <f t="shared" ref="P153:P175" si="214">$I153*G153/7</f>
        <v>0.11688611837813143</v>
      </c>
      <c r="Q153" s="144">
        <f t="shared" ref="Q153:Q175" si="215">$J153*C153/7</f>
        <v>5.5529675692110887</v>
      </c>
      <c r="R153" s="144">
        <f t="shared" ref="R153:R175" si="216">$J153*D153/7</f>
        <v>1.7286388042954119</v>
      </c>
      <c r="S153" s="144">
        <f t="shared" ref="S153:S175" si="217">$J153*E153/7</f>
        <v>2.9375198441126654E-2</v>
      </c>
      <c r="T153" s="144">
        <f t="shared" ref="T153:T175" si="218">$J153*F153/7</f>
        <v>8.8847481107377415E-3</v>
      </c>
      <c r="U153" s="144">
        <f t="shared" ref="U153:U175" si="219">$J153*G153/7</f>
        <v>0.43479736066922819</v>
      </c>
      <c r="V153" s="338">
        <f t="shared" ref="V153:V175" si="220">$K153*C153/7</f>
        <v>7.045766015930516</v>
      </c>
      <c r="W153" s="338">
        <f t="shared" ref="W153:W175" si="221">$K153*D153/7</f>
        <v>2.1933469607591696</v>
      </c>
      <c r="X153" s="338">
        <f t="shared" ref="X153:X175" si="222">$K153*E153/7</f>
        <v>3.7272102224272428E-2</v>
      </c>
      <c r="Y153" s="338">
        <f t="shared" ref="Y153:Y175" si="223">$K153*F153/7</f>
        <v>1.1273225625488825E-2</v>
      </c>
      <c r="Z153" s="338">
        <f t="shared" ref="Z153:Z175" si="224">$K153*G153/7</f>
        <v>0.55168347904735937</v>
      </c>
      <c r="AA153" s="199">
        <v>8</v>
      </c>
      <c r="AB153" s="176">
        <v>26</v>
      </c>
      <c r="AC153" s="177">
        <v>1</v>
      </c>
      <c r="AD153" s="238">
        <f t="shared" ref="AD153:AD175" si="225">$L153*$AC153</f>
        <v>1.4927984467194306</v>
      </c>
      <c r="AE153" s="238">
        <f t="shared" ref="AE153:AE175" si="226">$Q153*$AC153</f>
        <v>5.5529675692110887</v>
      </c>
      <c r="AF153" s="238">
        <f t="shared" ref="AF153:AF175" si="227">$V153*$AC153</f>
        <v>7.045766015930516</v>
      </c>
      <c r="AG153" s="255">
        <f>M153*VLOOKUP($AA153,'SKOR PPH'!$B$13:$D$21,3,FALSE)</f>
        <v>0.6528220182002884</v>
      </c>
      <c r="AH153" s="238">
        <f>N153*VLOOKUP($AA153,'SKOR PPH'!$B$13:$D$21,3,FALSE)</f>
        <v>1.1093570434563205E-2</v>
      </c>
      <c r="AI153" s="238">
        <f>O153*VLOOKUP($AA153,'SKOR PPH'!$B$13:$D$21,3,FALSE)</f>
        <v>3.3553332127223305E-3</v>
      </c>
      <c r="AJ153" s="238">
        <f>P153*VLOOKUP($AA153,'SKOR PPH'!$B$13:$D$21,3,FALSE)</f>
        <v>0.16420161909759903</v>
      </c>
      <c r="AK153" s="238">
        <f>$AD153*VLOOKUP($AA153,'SKOR PPH'!$B$13:$D$21,3,FALSE)</f>
        <v>2.0970832579514562</v>
      </c>
      <c r="AL153" s="255">
        <f>R153*VLOOKUP($AA153,'SKOR PPH'!$B$13:$D$21,3,FALSE)</f>
        <v>2.4283917922741947</v>
      </c>
      <c r="AM153" s="238">
        <f>S153*VLOOKUP($AA153,'SKOR PPH'!$B$13:$D$21,3,FALSE)</f>
        <v>4.1266278770094728E-2</v>
      </c>
      <c r="AN153" s="238">
        <f>T153*VLOOKUP($AA153,'SKOR PPH'!$B$13:$D$21,3,FALSE)</f>
        <v>1.248129414596438E-2</v>
      </c>
      <c r="AO153" s="238">
        <f>U153*VLOOKUP($AA153,'SKOR PPH'!$B$13:$D$21,3,FALSE)</f>
        <v>0.61080333226813177</v>
      </c>
      <c r="AP153" s="238">
        <f>$AE153*VLOOKUP($AA153,'SKOR PPH'!$B$13:$D$21,3,FALSE)</f>
        <v>7.8008088412277381</v>
      </c>
      <c r="AQ153" s="255">
        <f>W153*VLOOKUP($AA153,'SKOR PPH'!$B$13:$D$21,3,FALSE)</f>
        <v>3.0812138104744817</v>
      </c>
      <c r="AR153" s="238">
        <f>X153*VLOOKUP($AA153,'SKOR PPH'!$B$13:$D$21,3,FALSE)</f>
        <v>5.2359849204657909E-2</v>
      </c>
      <c r="AS153" s="238">
        <f>Y153*VLOOKUP($AA153,'SKOR PPH'!$B$13:$D$21,3,FALSE)</f>
        <v>1.5836627358686701E-2</v>
      </c>
      <c r="AT153" s="238">
        <f>Z153*VLOOKUP($AA153,'SKOR PPH'!$B$13:$D$21,3,FALSE)</f>
        <v>0.77500495136573044</v>
      </c>
      <c r="AU153" s="238">
        <f>$AF153*VLOOKUP($AA153,'SKOR PPH'!$B$13:$D$21,3,FALSE)</f>
        <v>9.8978920991791899</v>
      </c>
    </row>
    <row r="154" spans="2:47" ht="15" customHeight="1" x14ac:dyDescent="0.2">
      <c r="B154" s="199" t="s">
        <v>236</v>
      </c>
      <c r="C154" s="207">
        <v>1000</v>
      </c>
      <c r="D154" s="149">
        <v>365.3</v>
      </c>
      <c r="E154" s="243">
        <v>3.64</v>
      </c>
      <c r="F154" s="149">
        <v>1.3</v>
      </c>
      <c r="G154" s="261">
        <v>95.03</v>
      </c>
      <c r="H154" s="208" t="s">
        <v>200</v>
      </c>
      <c r="I154" s="311">
        <v>6.8992924188344452E-4</v>
      </c>
      <c r="J154" s="311">
        <v>3.0940530070502083E-3</v>
      </c>
      <c r="K154" s="311">
        <v>3.7839822489336527E-3</v>
      </c>
      <c r="L154" s="144">
        <f t="shared" si="210"/>
        <v>9.8561320269063502E-2</v>
      </c>
      <c r="M154" s="144">
        <f t="shared" si="211"/>
        <v>3.6004450294288899E-2</v>
      </c>
      <c r="N154" s="144">
        <f t="shared" si="212"/>
        <v>3.5876320577939115E-4</v>
      </c>
      <c r="O154" s="144">
        <f t="shared" si="213"/>
        <v>1.2812971634978254E-4</v>
      </c>
      <c r="P154" s="144">
        <f t="shared" si="214"/>
        <v>9.3662822651691038E-3</v>
      </c>
      <c r="Q154" s="144">
        <f t="shared" si="215"/>
        <v>0.44200757243574401</v>
      </c>
      <c r="R154" s="144">
        <f t="shared" si="216"/>
        <v>0.16146536621077728</v>
      </c>
      <c r="S154" s="144">
        <f t="shared" si="217"/>
        <v>1.6089075636661083E-3</v>
      </c>
      <c r="T154" s="144">
        <f t="shared" si="218"/>
        <v>5.7460984416646721E-4</v>
      </c>
      <c r="U154" s="144">
        <f t="shared" si="219"/>
        <v>4.2003979608568762E-2</v>
      </c>
      <c r="V154" s="338">
        <f t="shared" si="220"/>
        <v>0.54056889270480757</v>
      </c>
      <c r="W154" s="338">
        <f t="shared" si="221"/>
        <v>0.19746981650506618</v>
      </c>
      <c r="X154" s="338">
        <f t="shared" si="222"/>
        <v>1.9676707694454994E-3</v>
      </c>
      <c r="Y154" s="338">
        <f t="shared" si="223"/>
        <v>7.0273956051624981E-4</v>
      </c>
      <c r="Z154" s="338">
        <f t="shared" si="224"/>
        <v>5.1370261873737867E-2</v>
      </c>
      <c r="AA154" s="199">
        <v>8</v>
      </c>
      <c r="AB154" s="176">
        <v>26</v>
      </c>
      <c r="AC154" s="177">
        <v>1</v>
      </c>
      <c r="AD154" s="238">
        <f t="shared" si="225"/>
        <v>9.8561320269063502E-2</v>
      </c>
      <c r="AE154" s="238">
        <f t="shared" si="226"/>
        <v>0.44200757243574401</v>
      </c>
      <c r="AF154" s="238">
        <f t="shared" si="227"/>
        <v>0.54056889270480757</v>
      </c>
      <c r="AG154" s="255">
        <f>M154*VLOOKUP($AA154,'SKOR PPH'!$B$13:$D$21,3,FALSE)</f>
        <v>5.0579051773417046E-2</v>
      </c>
      <c r="AH154" s="238">
        <f>N154*VLOOKUP($AA154,'SKOR PPH'!$B$13:$D$21,3,FALSE)</f>
        <v>5.0399055147888866E-4</v>
      </c>
      <c r="AI154" s="238">
        <f>O154*VLOOKUP($AA154,'SKOR PPH'!$B$13:$D$21,3,FALSE)</f>
        <v>1.7999662552817454E-4</v>
      </c>
      <c r="AJ154" s="238">
        <f>P154*VLOOKUP($AA154,'SKOR PPH'!$B$13:$D$21,3,FALSE)</f>
        <v>1.3157753326109557E-2</v>
      </c>
      <c r="AK154" s="238">
        <f>$AD154*VLOOKUP($AA154,'SKOR PPH'!$B$13:$D$21,3,FALSE)</f>
        <v>0.1384589427139804</v>
      </c>
      <c r="AL154" s="255">
        <f>R154*VLOOKUP($AA154,'SKOR PPH'!$B$13:$D$21,3,FALSE)</f>
        <v>0.22682654645289993</v>
      </c>
      <c r="AM154" s="238">
        <f>S154*VLOOKUP($AA154,'SKOR PPH'!$B$13:$D$21,3,FALSE)</f>
        <v>2.2601933454381492E-3</v>
      </c>
      <c r="AN154" s="238">
        <f>T154*VLOOKUP($AA154,'SKOR PPH'!$B$13:$D$21,3,FALSE)</f>
        <v>8.0721190908505317E-4</v>
      </c>
      <c r="AO154" s="238">
        <f>U154*VLOOKUP($AA154,'SKOR PPH'!$B$13:$D$21,3,FALSE)</f>
        <v>5.9007190554117399E-2</v>
      </c>
      <c r="AP154" s="238">
        <f>$AE154*VLOOKUP($AA154,'SKOR PPH'!$B$13:$D$21,3,FALSE)</f>
        <v>0.62093223775773321</v>
      </c>
      <c r="AQ154" s="255">
        <f>W154*VLOOKUP($AA154,'SKOR PPH'!$B$13:$D$21,3,FALSE)</f>
        <v>0.277405598226317</v>
      </c>
      <c r="AR154" s="238">
        <f>X154*VLOOKUP($AA154,'SKOR PPH'!$B$13:$D$21,3,FALSE)</f>
        <v>2.7641838969170375E-3</v>
      </c>
      <c r="AS154" s="238">
        <f>Y154*VLOOKUP($AA154,'SKOR PPH'!$B$13:$D$21,3,FALSE)</f>
        <v>9.8720853461322787E-4</v>
      </c>
      <c r="AT154" s="238">
        <f>Z154*VLOOKUP($AA154,'SKOR PPH'!$B$13:$D$21,3,FALSE)</f>
        <v>7.2164943880226956E-2</v>
      </c>
      <c r="AU154" s="238">
        <f>$AF154*VLOOKUP($AA154,'SKOR PPH'!$B$13:$D$21,3,FALSE)</f>
        <v>0.75939118047171372</v>
      </c>
    </row>
    <row r="155" spans="2:47" ht="15" customHeight="1" x14ac:dyDescent="0.2">
      <c r="B155" s="199" t="s">
        <v>237</v>
      </c>
      <c r="C155" s="207">
        <v>1000</v>
      </c>
      <c r="D155" s="149">
        <v>484.5</v>
      </c>
      <c r="E155" s="243">
        <v>4.25</v>
      </c>
      <c r="F155" s="149">
        <v>3.4</v>
      </c>
      <c r="G155" s="261">
        <v>108.8</v>
      </c>
      <c r="H155" s="208" t="s">
        <v>200</v>
      </c>
      <c r="I155" s="311">
        <v>1.0035526567241631E-3</v>
      </c>
      <c r="J155" s="311">
        <v>3.0788594001800239E-3</v>
      </c>
      <c r="K155" s="311">
        <v>4.0824120569041868E-3</v>
      </c>
      <c r="L155" s="144">
        <f t="shared" si="210"/>
        <v>0.143364665246309</v>
      </c>
      <c r="M155" s="144">
        <f t="shared" si="211"/>
        <v>6.9460180311836719E-2</v>
      </c>
      <c r="N155" s="144">
        <f t="shared" si="212"/>
        <v>6.092998272968133E-4</v>
      </c>
      <c r="O155" s="144">
        <f t="shared" si="213"/>
        <v>4.8743986183745063E-4</v>
      </c>
      <c r="P155" s="144">
        <f t="shared" si="214"/>
        <v>1.559807557879842E-2</v>
      </c>
      <c r="Q155" s="144">
        <f t="shared" si="215"/>
        <v>0.43983705716857485</v>
      </c>
      <c r="R155" s="144">
        <f t="shared" si="216"/>
        <v>0.21310105419817452</v>
      </c>
      <c r="S155" s="144">
        <f t="shared" si="217"/>
        <v>1.869307492966443E-3</v>
      </c>
      <c r="T155" s="144">
        <f t="shared" si="218"/>
        <v>1.4954459943731545E-3</v>
      </c>
      <c r="U155" s="144">
        <f t="shared" si="219"/>
        <v>4.7854271819940945E-2</v>
      </c>
      <c r="V155" s="338">
        <f t="shared" si="220"/>
        <v>0.58320172241488388</v>
      </c>
      <c r="W155" s="338">
        <f t="shared" si="221"/>
        <v>0.28256123451001119</v>
      </c>
      <c r="X155" s="338">
        <f t="shared" si="222"/>
        <v>2.4786073202632563E-3</v>
      </c>
      <c r="Y155" s="338">
        <f t="shared" si="223"/>
        <v>1.9828858562106048E-3</v>
      </c>
      <c r="Z155" s="338">
        <f t="shared" si="224"/>
        <v>6.3452347398739353E-2</v>
      </c>
      <c r="AA155" s="199">
        <v>8</v>
      </c>
      <c r="AB155" s="176">
        <v>26</v>
      </c>
      <c r="AC155" s="177">
        <v>1</v>
      </c>
      <c r="AD155" s="238">
        <f t="shared" si="225"/>
        <v>0.143364665246309</v>
      </c>
      <c r="AE155" s="238">
        <f t="shared" si="226"/>
        <v>0.43983705716857485</v>
      </c>
      <c r="AF155" s="238">
        <f t="shared" si="227"/>
        <v>0.58320172241488388</v>
      </c>
      <c r="AG155" s="255">
        <f>M155*VLOOKUP($AA155,'SKOR PPH'!$B$13:$D$21,3,FALSE)</f>
        <v>9.7577661302068228E-2</v>
      </c>
      <c r="AH155" s="238">
        <f>N155*VLOOKUP($AA155,'SKOR PPH'!$B$13:$D$21,3,FALSE)</f>
        <v>8.559443973865633E-4</v>
      </c>
      <c r="AI155" s="238">
        <f>O155*VLOOKUP($AA155,'SKOR PPH'!$B$13:$D$21,3,FALSE)</f>
        <v>6.8475551790925064E-4</v>
      </c>
      <c r="AJ155" s="238">
        <f>P155*VLOOKUP($AA155,'SKOR PPH'!$B$13:$D$21,3,FALSE)</f>
        <v>2.1912176573096021E-2</v>
      </c>
      <c r="AK155" s="238">
        <f>$AD155*VLOOKUP($AA155,'SKOR PPH'!$B$13:$D$21,3,FALSE)</f>
        <v>0.2013986817380149</v>
      </c>
      <c r="AL155" s="255">
        <f>R155*VLOOKUP($AA155,'SKOR PPH'!$B$13:$D$21,3,FALSE)</f>
        <v>0.29936436093759555</v>
      </c>
      <c r="AM155" s="238">
        <f>S155*VLOOKUP($AA155,'SKOR PPH'!$B$13:$D$21,3,FALSE)</f>
        <v>2.6260031661192594E-3</v>
      </c>
      <c r="AN155" s="238">
        <f>T155*VLOOKUP($AA155,'SKOR PPH'!$B$13:$D$21,3,FALSE)</f>
        <v>2.1008025328954076E-3</v>
      </c>
      <c r="AO155" s="238">
        <f>U155*VLOOKUP($AA155,'SKOR PPH'!$B$13:$D$21,3,FALSE)</f>
        <v>6.7225681052653044E-2</v>
      </c>
      <c r="AP155" s="238">
        <f>$AE155*VLOOKUP($AA155,'SKOR PPH'!$B$13:$D$21,3,FALSE)</f>
        <v>0.61788309791041396</v>
      </c>
      <c r="AQ155" s="255">
        <f>W155*VLOOKUP($AA155,'SKOR PPH'!$B$13:$D$21,3,FALSE)</f>
        <v>0.39694202223966374</v>
      </c>
      <c r="AR155" s="238">
        <f>X155*VLOOKUP($AA155,'SKOR PPH'!$B$13:$D$21,3,FALSE)</f>
        <v>3.4819475635058227E-3</v>
      </c>
      <c r="AS155" s="238">
        <f>Y155*VLOOKUP($AA155,'SKOR PPH'!$B$13:$D$21,3,FALSE)</f>
        <v>2.7855580508046578E-3</v>
      </c>
      <c r="AT155" s="238">
        <f>Z155*VLOOKUP($AA155,'SKOR PPH'!$B$13:$D$21,3,FALSE)</f>
        <v>8.9137857625749051E-2</v>
      </c>
      <c r="AU155" s="238">
        <f>$AF155*VLOOKUP($AA155,'SKOR PPH'!$B$13:$D$21,3,FALSE)</f>
        <v>0.81928177964842885</v>
      </c>
    </row>
    <row r="156" spans="2:47" ht="15" customHeight="1" x14ac:dyDescent="0.2">
      <c r="B156" s="199" t="s">
        <v>238</v>
      </c>
      <c r="C156" s="207">
        <v>1000</v>
      </c>
      <c r="D156" s="149">
        <v>518.5</v>
      </c>
      <c r="E156" s="243">
        <v>5.49</v>
      </c>
      <c r="F156" s="149">
        <v>39.65</v>
      </c>
      <c r="G156" s="261">
        <v>46.97</v>
      </c>
      <c r="H156" s="208" t="s">
        <v>200</v>
      </c>
      <c r="I156" s="311">
        <v>0</v>
      </c>
      <c r="J156" s="311">
        <v>0</v>
      </c>
      <c r="K156" s="311">
        <v>0</v>
      </c>
      <c r="L156" s="144">
        <f t="shared" si="210"/>
        <v>0</v>
      </c>
      <c r="M156" s="144">
        <f t="shared" si="211"/>
        <v>0</v>
      </c>
      <c r="N156" s="144">
        <f t="shared" si="212"/>
        <v>0</v>
      </c>
      <c r="O156" s="144">
        <f t="shared" si="213"/>
        <v>0</v>
      </c>
      <c r="P156" s="144">
        <f t="shared" si="214"/>
        <v>0</v>
      </c>
      <c r="Q156" s="144">
        <f t="shared" si="215"/>
        <v>0</v>
      </c>
      <c r="R156" s="144">
        <f t="shared" si="216"/>
        <v>0</v>
      </c>
      <c r="S156" s="144">
        <f t="shared" si="217"/>
        <v>0</v>
      </c>
      <c r="T156" s="144">
        <f t="shared" si="218"/>
        <v>0</v>
      </c>
      <c r="U156" s="144">
        <f t="shared" si="219"/>
        <v>0</v>
      </c>
      <c r="V156" s="338">
        <f t="shared" si="220"/>
        <v>0</v>
      </c>
      <c r="W156" s="338">
        <f t="shared" si="221"/>
        <v>0</v>
      </c>
      <c r="X156" s="338">
        <f t="shared" si="222"/>
        <v>0</v>
      </c>
      <c r="Y156" s="338">
        <f t="shared" si="223"/>
        <v>0</v>
      </c>
      <c r="Z156" s="338">
        <f t="shared" si="224"/>
        <v>0</v>
      </c>
      <c r="AA156" s="199">
        <v>8</v>
      </c>
      <c r="AB156" s="176">
        <v>26</v>
      </c>
      <c r="AC156" s="177">
        <v>1</v>
      </c>
      <c r="AD156" s="238">
        <f t="shared" si="225"/>
        <v>0</v>
      </c>
      <c r="AE156" s="238">
        <f t="shared" si="226"/>
        <v>0</v>
      </c>
      <c r="AF156" s="238">
        <f t="shared" si="227"/>
        <v>0</v>
      </c>
      <c r="AG156" s="255">
        <f>M156*VLOOKUP($AA156,'SKOR PPH'!$B$13:$D$21,3,FALSE)</f>
        <v>0</v>
      </c>
      <c r="AH156" s="238">
        <f>N156*VLOOKUP($AA156,'SKOR PPH'!$B$13:$D$21,3,FALSE)</f>
        <v>0</v>
      </c>
      <c r="AI156" s="238">
        <f>O156*VLOOKUP($AA156,'SKOR PPH'!$B$13:$D$21,3,FALSE)</f>
        <v>0</v>
      </c>
      <c r="AJ156" s="238">
        <f>P156*VLOOKUP($AA156,'SKOR PPH'!$B$13:$D$21,3,FALSE)</f>
        <v>0</v>
      </c>
      <c r="AK156" s="238">
        <f>$AD156*VLOOKUP($AA156,'SKOR PPH'!$B$13:$D$21,3,FALSE)</f>
        <v>0</v>
      </c>
      <c r="AL156" s="255">
        <f>R156*VLOOKUP($AA156,'SKOR PPH'!$B$13:$D$21,3,FALSE)</f>
        <v>0</v>
      </c>
      <c r="AM156" s="238">
        <f>S156*VLOOKUP($AA156,'SKOR PPH'!$B$13:$D$21,3,FALSE)</f>
        <v>0</v>
      </c>
      <c r="AN156" s="238">
        <f>T156*VLOOKUP($AA156,'SKOR PPH'!$B$13:$D$21,3,FALSE)</f>
        <v>0</v>
      </c>
      <c r="AO156" s="238">
        <f>U156*VLOOKUP($AA156,'SKOR PPH'!$B$13:$D$21,3,FALSE)</f>
        <v>0</v>
      </c>
      <c r="AP156" s="238">
        <f>$AE156*VLOOKUP($AA156,'SKOR PPH'!$B$13:$D$21,3,FALSE)</f>
        <v>0</v>
      </c>
      <c r="AQ156" s="255">
        <f>W156*VLOOKUP($AA156,'SKOR PPH'!$B$13:$D$21,3,FALSE)</f>
        <v>0</v>
      </c>
      <c r="AR156" s="238">
        <f>X156*VLOOKUP($AA156,'SKOR PPH'!$B$13:$D$21,3,FALSE)</f>
        <v>0</v>
      </c>
      <c r="AS156" s="238">
        <f>Y156*VLOOKUP($AA156,'SKOR PPH'!$B$13:$D$21,3,FALSE)</f>
        <v>0</v>
      </c>
      <c r="AT156" s="238">
        <f>Z156*VLOOKUP($AA156,'SKOR PPH'!$B$13:$D$21,3,FALSE)</f>
        <v>0</v>
      </c>
      <c r="AU156" s="238">
        <f>$AF156*VLOOKUP($AA156,'SKOR PPH'!$B$13:$D$21,3,FALSE)</f>
        <v>0</v>
      </c>
    </row>
    <row r="157" spans="2:47" ht="15" customHeight="1" x14ac:dyDescent="0.2">
      <c r="B157" s="199" t="s">
        <v>239</v>
      </c>
      <c r="C157" s="207">
        <v>1000</v>
      </c>
      <c r="D157" s="257">
        <v>276</v>
      </c>
      <c r="E157" s="243">
        <v>3.6</v>
      </c>
      <c r="F157" s="149">
        <v>0.4</v>
      </c>
      <c r="G157" s="261">
        <v>72.400000000000006</v>
      </c>
      <c r="H157" s="208" t="s">
        <v>200</v>
      </c>
      <c r="I157" s="311">
        <v>4.1630824920396004E-4</v>
      </c>
      <c r="J157" s="311">
        <v>3.7004884556954771E-3</v>
      </c>
      <c r="K157" s="311">
        <v>4.1167967048994364E-3</v>
      </c>
      <c r="L157" s="144">
        <f t="shared" si="210"/>
        <v>5.9472607029137148E-2</v>
      </c>
      <c r="M157" s="144">
        <f t="shared" si="211"/>
        <v>1.6414439540041854E-2</v>
      </c>
      <c r="N157" s="144">
        <f t="shared" si="212"/>
        <v>2.1410138530489372E-4</v>
      </c>
      <c r="O157" s="144">
        <f t="shared" si="213"/>
        <v>2.3789042811654861E-5</v>
      </c>
      <c r="P157" s="144">
        <f t="shared" si="214"/>
        <v>4.3058167489095295E-3</v>
      </c>
      <c r="Q157" s="144">
        <f t="shared" si="215"/>
        <v>0.52864120795649672</v>
      </c>
      <c r="R157" s="144">
        <f t="shared" si="216"/>
        <v>0.14590497339599309</v>
      </c>
      <c r="S157" s="144">
        <f t="shared" si="217"/>
        <v>1.9031083486433884E-3</v>
      </c>
      <c r="T157" s="144">
        <f t="shared" si="218"/>
        <v>2.1145648318259873E-4</v>
      </c>
      <c r="U157" s="144">
        <f t="shared" si="219"/>
        <v>3.8273623456050364E-2</v>
      </c>
      <c r="V157" s="338">
        <f t="shared" si="220"/>
        <v>0.58811381498563375</v>
      </c>
      <c r="W157" s="338">
        <f t="shared" si="221"/>
        <v>0.16231941293603494</v>
      </c>
      <c r="X157" s="338">
        <f t="shared" si="222"/>
        <v>2.1172097339482816E-3</v>
      </c>
      <c r="Y157" s="338">
        <f t="shared" si="223"/>
        <v>2.3524552599425353E-4</v>
      </c>
      <c r="Z157" s="338">
        <f t="shared" si="224"/>
        <v>4.2579440204959892E-2</v>
      </c>
      <c r="AA157" s="199">
        <v>8</v>
      </c>
      <c r="AB157" s="176">
        <v>26</v>
      </c>
      <c r="AC157" s="177">
        <v>1</v>
      </c>
      <c r="AD157" s="238">
        <f t="shared" si="225"/>
        <v>5.9472607029137148E-2</v>
      </c>
      <c r="AE157" s="238">
        <f t="shared" si="226"/>
        <v>0.52864120795649672</v>
      </c>
      <c r="AF157" s="238">
        <f t="shared" si="227"/>
        <v>0.58811381498563375</v>
      </c>
      <c r="AG157" s="255">
        <f>M157*VLOOKUP($AA157,'SKOR PPH'!$B$13:$D$21,3,FALSE)</f>
        <v>2.3059004665850799E-2</v>
      </c>
      <c r="AH157" s="238">
        <f>N157*VLOOKUP($AA157,'SKOR PPH'!$B$13:$D$21,3,FALSE)</f>
        <v>3.007696260763147E-4</v>
      </c>
      <c r="AI157" s="238">
        <f>O157*VLOOKUP($AA157,'SKOR PPH'!$B$13:$D$21,3,FALSE)</f>
        <v>3.3418847341812747E-5</v>
      </c>
      <c r="AJ157" s="238">
        <f>P157*VLOOKUP($AA157,'SKOR PPH'!$B$13:$D$21,3,FALSE)</f>
        <v>6.0488113688681074E-3</v>
      </c>
      <c r="AK157" s="238">
        <f>$AD157*VLOOKUP($AA157,'SKOR PPH'!$B$13:$D$21,3,FALSE)</f>
        <v>8.3547118354531866E-2</v>
      </c>
      <c r="AL157" s="255">
        <f>R157*VLOOKUP($AA157,'SKOR PPH'!$B$13:$D$21,3,FALSE)</f>
        <v>0.2049673066266911</v>
      </c>
      <c r="AM157" s="238">
        <f>S157*VLOOKUP($AA157,'SKOR PPH'!$B$13:$D$21,3,FALSE)</f>
        <v>2.673486608174232E-3</v>
      </c>
      <c r="AN157" s="238">
        <f>T157*VLOOKUP($AA157,'SKOR PPH'!$B$13:$D$21,3,FALSE)</f>
        <v>2.9705406757491468E-4</v>
      </c>
      <c r="AO157" s="238">
        <f>U157*VLOOKUP($AA157,'SKOR PPH'!$B$13:$D$21,3,FALSE)</f>
        <v>5.376678623105955E-2</v>
      </c>
      <c r="AP157" s="238">
        <f>$AE157*VLOOKUP($AA157,'SKOR PPH'!$B$13:$D$21,3,FALSE)</f>
        <v>0.74263516893728665</v>
      </c>
      <c r="AQ157" s="255">
        <f>W157*VLOOKUP($AA157,'SKOR PPH'!$B$13:$D$21,3,FALSE)</f>
        <v>0.22802631129254189</v>
      </c>
      <c r="AR157" s="238">
        <f>X157*VLOOKUP($AA157,'SKOR PPH'!$B$13:$D$21,3,FALSE)</f>
        <v>2.9742562342505463E-3</v>
      </c>
      <c r="AS157" s="238">
        <f>Y157*VLOOKUP($AA157,'SKOR PPH'!$B$13:$D$21,3,FALSE)</f>
        <v>3.3047291491672734E-4</v>
      </c>
      <c r="AT157" s="238">
        <f>Z157*VLOOKUP($AA157,'SKOR PPH'!$B$13:$D$21,3,FALSE)</f>
        <v>5.9815597599927661E-2</v>
      </c>
      <c r="AU157" s="238">
        <f>$AF157*VLOOKUP($AA157,'SKOR PPH'!$B$13:$D$21,3,FALSE)</f>
        <v>0.82618228729181831</v>
      </c>
    </row>
    <row r="158" spans="2:47" ht="15" customHeight="1" x14ac:dyDescent="0.2">
      <c r="B158" s="199" t="s">
        <v>240</v>
      </c>
      <c r="C158" s="207">
        <v>1000</v>
      </c>
      <c r="D158" s="149">
        <v>403.2</v>
      </c>
      <c r="E158" s="243">
        <v>6.4</v>
      </c>
      <c r="F158" s="149">
        <v>1.28</v>
      </c>
      <c r="G158" s="261">
        <v>103.04</v>
      </c>
      <c r="H158" s="208" t="s">
        <v>200</v>
      </c>
      <c r="I158" s="311">
        <v>6.6089326331330864E-3</v>
      </c>
      <c r="J158" s="311">
        <v>3.6313265676604527E-2</v>
      </c>
      <c r="K158" s="311">
        <v>4.2922198309737633E-2</v>
      </c>
      <c r="L158" s="144">
        <f t="shared" si="210"/>
        <v>0.94413323330472665</v>
      </c>
      <c r="M158" s="144">
        <f t="shared" si="211"/>
        <v>0.38067451966846572</v>
      </c>
      <c r="N158" s="144">
        <f t="shared" si="212"/>
        <v>6.042452693150251E-3</v>
      </c>
      <c r="O158" s="144">
        <f t="shared" si="213"/>
        <v>1.2084905386300501E-3</v>
      </c>
      <c r="P158" s="144">
        <f t="shared" si="214"/>
        <v>9.7283488359719034E-2</v>
      </c>
      <c r="Q158" s="144">
        <f t="shared" si="215"/>
        <v>5.1876093823720755</v>
      </c>
      <c r="R158" s="144">
        <f t="shared" si="216"/>
        <v>2.0916441029724209</v>
      </c>
      <c r="S158" s="144">
        <f t="shared" si="217"/>
        <v>3.3200700047181279E-2</v>
      </c>
      <c r="T158" s="144">
        <f t="shared" si="218"/>
        <v>6.6401400094362557E-3</v>
      </c>
      <c r="U158" s="144">
        <f t="shared" si="219"/>
        <v>0.5345312707596187</v>
      </c>
      <c r="V158" s="338">
        <f t="shared" si="220"/>
        <v>6.1317426156768047</v>
      </c>
      <c r="W158" s="338">
        <f t="shared" si="221"/>
        <v>2.4723186226408878</v>
      </c>
      <c r="X158" s="338">
        <f t="shared" si="222"/>
        <v>3.9243152740331556E-2</v>
      </c>
      <c r="Y158" s="338">
        <f t="shared" si="223"/>
        <v>7.8486305480663099E-3</v>
      </c>
      <c r="Z158" s="338">
        <f t="shared" si="224"/>
        <v>0.63181475911933804</v>
      </c>
      <c r="AA158" s="199">
        <v>8</v>
      </c>
      <c r="AB158" s="176">
        <v>26</v>
      </c>
      <c r="AC158" s="177">
        <v>1</v>
      </c>
      <c r="AD158" s="238">
        <f t="shared" si="225"/>
        <v>0.94413323330472665</v>
      </c>
      <c r="AE158" s="238">
        <f t="shared" si="226"/>
        <v>5.1876093823720755</v>
      </c>
      <c r="AF158" s="238">
        <f t="shared" si="227"/>
        <v>6.1317426156768047</v>
      </c>
      <c r="AG158" s="255">
        <f>M158*VLOOKUP($AA158,'SKOR PPH'!$B$13:$D$21,3,FALSE)</f>
        <v>0.5347715652302607</v>
      </c>
      <c r="AH158" s="238">
        <f>N158*VLOOKUP($AA158,'SKOR PPH'!$B$13:$D$21,3,FALSE)</f>
        <v>8.4884375433374737E-3</v>
      </c>
      <c r="AI158" s="238">
        <f>O158*VLOOKUP($AA158,'SKOR PPH'!$B$13:$D$21,3,FALSE)</f>
        <v>1.6976875086674944E-3</v>
      </c>
      <c r="AJ158" s="238">
        <f>P158*VLOOKUP($AA158,'SKOR PPH'!$B$13:$D$21,3,FALSE)</f>
        <v>0.1366638444477333</v>
      </c>
      <c r="AK158" s="238">
        <f>$AD158*VLOOKUP($AA158,'SKOR PPH'!$B$13:$D$21,3,FALSE)</f>
        <v>1.3263183661464801</v>
      </c>
      <c r="AL158" s="255">
        <f>R158*VLOOKUP($AA158,'SKOR PPH'!$B$13:$D$21,3,FALSE)</f>
        <v>2.9383416358556569</v>
      </c>
      <c r="AM158" s="238">
        <f>S158*VLOOKUP($AA158,'SKOR PPH'!$B$13:$D$21,3,FALSE)</f>
        <v>4.6640343426280262E-2</v>
      </c>
      <c r="AN158" s="238">
        <f>T158*VLOOKUP($AA158,'SKOR PPH'!$B$13:$D$21,3,FALSE)</f>
        <v>9.3280686852560517E-3</v>
      </c>
      <c r="AO158" s="238">
        <f>U158*VLOOKUP($AA158,'SKOR PPH'!$B$13:$D$21,3,FALSE)</f>
        <v>0.75090952916311238</v>
      </c>
      <c r="AP158" s="238">
        <f>$AE158*VLOOKUP($AA158,'SKOR PPH'!$B$13:$D$21,3,FALSE)</f>
        <v>7.2875536603562923</v>
      </c>
      <c r="AQ158" s="255">
        <f>W158*VLOOKUP($AA158,'SKOR PPH'!$B$13:$D$21,3,FALSE)</f>
        <v>3.4731132010859191</v>
      </c>
      <c r="AR158" s="238">
        <f>X158*VLOOKUP($AA158,'SKOR PPH'!$B$13:$D$21,3,FALSE)</f>
        <v>5.512878096961777E-2</v>
      </c>
      <c r="AS158" s="238">
        <f>Y158*VLOOKUP($AA158,'SKOR PPH'!$B$13:$D$21,3,FALSE)</f>
        <v>1.1025756193923552E-2</v>
      </c>
      <c r="AT158" s="238">
        <f>Z158*VLOOKUP($AA158,'SKOR PPH'!$B$13:$D$21,3,FALSE)</f>
        <v>0.88757337361084609</v>
      </c>
      <c r="AU158" s="238">
        <f>$AF158*VLOOKUP($AA158,'SKOR PPH'!$B$13:$D$21,3,FALSE)</f>
        <v>8.6138720265027757</v>
      </c>
    </row>
    <row r="159" spans="2:47" ht="15" customHeight="1" x14ac:dyDescent="0.2">
      <c r="B159" s="199" t="s">
        <v>241</v>
      </c>
      <c r="C159" s="207">
        <v>1000</v>
      </c>
      <c r="D159" s="149">
        <v>294.8</v>
      </c>
      <c r="E159" s="243">
        <v>5.5</v>
      </c>
      <c r="F159" s="149">
        <v>6.6</v>
      </c>
      <c r="G159" s="261">
        <v>61.6</v>
      </c>
      <c r="H159" s="208" t="s">
        <v>200</v>
      </c>
      <c r="I159" s="311">
        <v>5.0801658466774111E-4</v>
      </c>
      <c r="J159" s="311">
        <v>0</v>
      </c>
      <c r="K159" s="311">
        <v>5.0801658466774111E-4</v>
      </c>
      <c r="L159" s="144">
        <f t="shared" si="210"/>
        <v>7.2573797809677307E-2</v>
      </c>
      <c r="M159" s="144">
        <f t="shared" si="211"/>
        <v>2.139475559429287E-2</v>
      </c>
      <c r="N159" s="144">
        <f t="shared" si="212"/>
        <v>3.9915588795322516E-4</v>
      </c>
      <c r="O159" s="144">
        <f t="shared" si="213"/>
        <v>4.7898706554387014E-4</v>
      </c>
      <c r="P159" s="144">
        <f t="shared" si="214"/>
        <v>4.4705459450761218E-3</v>
      </c>
      <c r="Q159" s="144">
        <f t="shared" si="215"/>
        <v>0</v>
      </c>
      <c r="R159" s="144">
        <f t="shared" si="216"/>
        <v>0</v>
      </c>
      <c r="S159" s="144">
        <f t="shared" si="217"/>
        <v>0</v>
      </c>
      <c r="T159" s="144">
        <f t="shared" si="218"/>
        <v>0</v>
      </c>
      <c r="U159" s="144">
        <f t="shared" si="219"/>
        <v>0</v>
      </c>
      <c r="V159" s="338">
        <f t="shared" si="220"/>
        <v>7.2573797809677307E-2</v>
      </c>
      <c r="W159" s="338">
        <f t="shared" si="221"/>
        <v>2.139475559429287E-2</v>
      </c>
      <c r="X159" s="338">
        <f t="shared" si="222"/>
        <v>3.9915588795322516E-4</v>
      </c>
      <c r="Y159" s="338">
        <f t="shared" si="223"/>
        <v>4.7898706554387014E-4</v>
      </c>
      <c r="Z159" s="338">
        <f t="shared" si="224"/>
        <v>4.4705459450761218E-3</v>
      </c>
      <c r="AA159" s="199">
        <v>8</v>
      </c>
      <c r="AB159" s="176">
        <v>26</v>
      </c>
      <c r="AC159" s="177">
        <v>1</v>
      </c>
      <c r="AD159" s="238">
        <f t="shared" si="225"/>
        <v>7.2573797809677307E-2</v>
      </c>
      <c r="AE159" s="238">
        <f t="shared" si="226"/>
        <v>0</v>
      </c>
      <c r="AF159" s="238">
        <f t="shared" si="227"/>
        <v>7.2573797809677307E-2</v>
      </c>
      <c r="AG159" s="255">
        <f>M159*VLOOKUP($AA159,'SKOR PPH'!$B$13:$D$21,3,FALSE)</f>
        <v>3.0055352658862625E-2</v>
      </c>
      <c r="AH159" s="238">
        <f>N159*VLOOKUP($AA159,'SKOR PPH'!$B$13:$D$21,3,FALSE)</f>
        <v>5.6073419139669072E-4</v>
      </c>
      <c r="AI159" s="238">
        <f>O159*VLOOKUP($AA159,'SKOR PPH'!$B$13:$D$21,3,FALSE)</f>
        <v>6.7288102967602884E-4</v>
      </c>
      <c r="AJ159" s="238">
        <f>P159*VLOOKUP($AA159,'SKOR PPH'!$B$13:$D$21,3,FALSE)</f>
        <v>6.2802229436429357E-3</v>
      </c>
      <c r="AK159" s="238">
        <f>$AD159*VLOOKUP($AA159,'SKOR PPH'!$B$13:$D$21,3,FALSE)</f>
        <v>0.10195167116303469</v>
      </c>
      <c r="AL159" s="255">
        <f>R159*VLOOKUP($AA159,'SKOR PPH'!$B$13:$D$21,3,FALSE)</f>
        <v>0</v>
      </c>
      <c r="AM159" s="238">
        <f>S159*VLOOKUP($AA159,'SKOR PPH'!$B$13:$D$21,3,FALSE)</f>
        <v>0</v>
      </c>
      <c r="AN159" s="238">
        <f>T159*VLOOKUP($AA159,'SKOR PPH'!$B$13:$D$21,3,FALSE)</f>
        <v>0</v>
      </c>
      <c r="AO159" s="238">
        <f>U159*VLOOKUP($AA159,'SKOR PPH'!$B$13:$D$21,3,FALSE)</f>
        <v>0</v>
      </c>
      <c r="AP159" s="238">
        <f>$AE159*VLOOKUP($AA159,'SKOR PPH'!$B$13:$D$21,3,FALSE)</f>
        <v>0</v>
      </c>
      <c r="AQ159" s="255">
        <f>W159*VLOOKUP($AA159,'SKOR PPH'!$B$13:$D$21,3,FALSE)</f>
        <v>3.0055352658862625E-2</v>
      </c>
      <c r="AR159" s="238">
        <f>X159*VLOOKUP($AA159,'SKOR PPH'!$B$13:$D$21,3,FALSE)</f>
        <v>5.6073419139669072E-4</v>
      </c>
      <c r="AS159" s="238">
        <f>Y159*VLOOKUP($AA159,'SKOR PPH'!$B$13:$D$21,3,FALSE)</f>
        <v>6.7288102967602884E-4</v>
      </c>
      <c r="AT159" s="238">
        <f>Z159*VLOOKUP($AA159,'SKOR PPH'!$B$13:$D$21,3,FALSE)</f>
        <v>6.2802229436429357E-3</v>
      </c>
      <c r="AU159" s="238">
        <f>$AF159*VLOOKUP($AA159,'SKOR PPH'!$B$13:$D$21,3,FALSE)</f>
        <v>0.10195167116303469</v>
      </c>
    </row>
    <row r="160" spans="2:47" ht="15" customHeight="1" x14ac:dyDescent="0.2">
      <c r="B160" s="199" t="s">
        <v>242</v>
      </c>
      <c r="C160" s="207">
        <v>1000</v>
      </c>
      <c r="D160" s="149">
        <v>1350.6</v>
      </c>
      <c r="E160" s="243">
        <v>4.68</v>
      </c>
      <c r="F160" s="149">
        <v>1.64</v>
      </c>
      <c r="G160" s="261">
        <v>329.62</v>
      </c>
      <c r="H160" s="208" t="s">
        <v>200</v>
      </c>
      <c r="I160" s="311">
        <v>2.3843517525485693E-3</v>
      </c>
      <c r="J160" s="311">
        <v>5.7245682829445803E-3</v>
      </c>
      <c r="K160" s="311">
        <v>8.1089200354931487E-3</v>
      </c>
      <c r="L160" s="144">
        <f t="shared" si="210"/>
        <v>0.34062167893550993</v>
      </c>
      <c r="M160" s="144">
        <f t="shared" si="211"/>
        <v>0.46004363957029965</v>
      </c>
      <c r="N160" s="144">
        <f t="shared" si="212"/>
        <v>1.5941094574181862E-3</v>
      </c>
      <c r="O160" s="144">
        <f t="shared" si="213"/>
        <v>5.5861955345423622E-4</v>
      </c>
      <c r="P160" s="144">
        <f t="shared" si="214"/>
        <v>0.11227571781072278</v>
      </c>
      <c r="Q160" s="144">
        <f t="shared" si="215"/>
        <v>0.81779546899208289</v>
      </c>
      <c r="R160" s="144">
        <f t="shared" si="216"/>
        <v>1.1045145604207069</v>
      </c>
      <c r="S160" s="144">
        <f t="shared" si="217"/>
        <v>3.8272827948829481E-3</v>
      </c>
      <c r="T160" s="144">
        <f t="shared" si="218"/>
        <v>1.341184569147016E-3</v>
      </c>
      <c r="U160" s="144">
        <f t="shared" si="219"/>
        <v>0.26956174248917036</v>
      </c>
      <c r="V160" s="338">
        <f t="shared" si="220"/>
        <v>1.1584171479275926</v>
      </c>
      <c r="W160" s="338">
        <f t="shared" si="221"/>
        <v>1.5645581999910065</v>
      </c>
      <c r="X160" s="338">
        <f t="shared" si="222"/>
        <v>5.4213922523011337E-3</v>
      </c>
      <c r="Y160" s="338">
        <f t="shared" si="223"/>
        <v>1.8998041226012518E-3</v>
      </c>
      <c r="Z160" s="338">
        <f t="shared" si="224"/>
        <v>0.38183746029989313</v>
      </c>
      <c r="AA160" s="199">
        <v>8</v>
      </c>
      <c r="AB160" s="176">
        <v>26</v>
      </c>
      <c r="AC160" s="177">
        <v>1</v>
      </c>
      <c r="AD160" s="238">
        <f t="shared" si="225"/>
        <v>0.34062167893550993</v>
      </c>
      <c r="AE160" s="238">
        <f t="shared" si="226"/>
        <v>0.81779546899208289</v>
      </c>
      <c r="AF160" s="238">
        <f t="shared" si="227"/>
        <v>1.1584171479275926</v>
      </c>
      <c r="AG160" s="255">
        <f>M160*VLOOKUP($AA160,'SKOR PPH'!$B$13:$D$21,3,FALSE)</f>
        <v>0.64626930486835699</v>
      </c>
      <c r="AH160" s="238">
        <f>N160*VLOOKUP($AA160,'SKOR PPH'!$B$13:$D$21,3,FALSE)</f>
        <v>2.2394049657810679E-3</v>
      </c>
      <c r="AI160" s="238">
        <f>O160*VLOOKUP($AA160,'SKOR PPH'!$B$13:$D$21,3,FALSE)</f>
        <v>7.8474874869251103E-4</v>
      </c>
      <c r="AJ160" s="238">
        <f>P160*VLOOKUP($AA160,'SKOR PPH'!$B$13:$D$21,3,FALSE)</f>
        <v>0.15772492838050337</v>
      </c>
      <c r="AK160" s="238">
        <f>$AD160*VLOOKUP($AA160,'SKOR PPH'!$B$13:$D$21,3,FALSE)</f>
        <v>0.47850533456860439</v>
      </c>
      <c r="AL160" s="255">
        <f>R160*VLOOKUP($AA160,'SKOR PPH'!$B$13:$D$21,3,FALSE)</f>
        <v>1.5516220544790091</v>
      </c>
      <c r="AM160" s="238">
        <f>S160*VLOOKUP($AA160,'SKOR PPH'!$B$13:$D$21,3,FALSE)</f>
        <v>5.3765668702515654E-3</v>
      </c>
      <c r="AN160" s="238">
        <f>T160*VLOOKUP($AA160,'SKOR PPH'!$B$13:$D$21,3,FALSE)</f>
        <v>1.8840960827377282E-3</v>
      </c>
      <c r="AO160" s="238">
        <f>U160*VLOOKUP($AA160,'SKOR PPH'!$B$13:$D$21,3,FALSE)</f>
        <v>0.37868033584878652</v>
      </c>
      <c r="AP160" s="238">
        <f>$AE160*VLOOKUP($AA160,'SKOR PPH'!$B$13:$D$21,3,FALSE)</f>
        <v>1.1488390748400781</v>
      </c>
      <c r="AQ160" s="255">
        <f>W160*VLOOKUP($AA160,'SKOR PPH'!$B$13:$D$21,3,FALSE)</f>
        <v>2.1978913593473659</v>
      </c>
      <c r="AR160" s="238">
        <f>X160*VLOOKUP($AA160,'SKOR PPH'!$B$13:$D$21,3,FALSE)</f>
        <v>7.6159718360326329E-3</v>
      </c>
      <c r="AS160" s="238">
        <f>Y160*VLOOKUP($AA160,'SKOR PPH'!$B$13:$D$21,3,FALSE)</f>
        <v>2.6688448314302385E-3</v>
      </c>
      <c r="AT160" s="238">
        <f>Z160*VLOOKUP($AA160,'SKOR PPH'!$B$13:$D$21,3,FALSE)</f>
        <v>0.53640526422928991</v>
      </c>
      <c r="AU160" s="238">
        <f>$AF160*VLOOKUP($AA160,'SKOR PPH'!$B$13:$D$21,3,FALSE)</f>
        <v>1.6273444094086822</v>
      </c>
    </row>
    <row r="161" spans="2:47" ht="15" customHeight="1" x14ac:dyDescent="0.2">
      <c r="B161" s="199" t="s">
        <v>243</v>
      </c>
      <c r="C161" s="207">
        <v>1000</v>
      </c>
      <c r="D161" s="149">
        <v>204</v>
      </c>
      <c r="E161" s="243">
        <v>3.06</v>
      </c>
      <c r="F161" s="149">
        <v>1.53</v>
      </c>
      <c r="G161" s="261">
        <v>50.49</v>
      </c>
      <c r="H161" s="208" t="s">
        <v>200</v>
      </c>
      <c r="I161" s="311">
        <v>0</v>
      </c>
      <c r="J161" s="311">
        <v>0</v>
      </c>
      <c r="K161" s="311">
        <v>0</v>
      </c>
      <c r="L161" s="144">
        <f t="shared" si="210"/>
        <v>0</v>
      </c>
      <c r="M161" s="144">
        <f t="shared" si="211"/>
        <v>0</v>
      </c>
      <c r="N161" s="144">
        <f t="shared" si="212"/>
        <v>0</v>
      </c>
      <c r="O161" s="144">
        <f t="shared" si="213"/>
        <v>0</v>
      </c>
      <c r="P161" s="144">
        <f t="shared" si="214"/>
        <v>0</v>
      </c>
      <c r="Q161" s="144">
        <f t="shared" si="215"/>
        <v>0</v>
      </c>
      <c r="R161" s="144">
        <f t="shared" si="216"/>
        <v>0</v>
      </c>
      <c r="S161" s="144">
        <f t="shared" si="217"/>
        <v>0</v>
      </c>
      <c r="T161" s="144">
        <f t="shared" si="218"/>
        <v>0</v>
      </c>
      <c r="U161" s="144">
        <f t="shared" si="219"/>
        <v>0</v>
      </c>
      <c r="V161" s="338">
        <f t="shared" si="220"/>
        <v>0</v>
      </c>
      <c r="W161" s="338">
        <f t="shared" si="221"/>
        <v>0</v>
      </c>
      <c r="X161" s="338">
        <f t="shared" si="222"/>
        <v>0</v>
      </c>
      <c r="Y161" s="338">
        <f t="shared" si="223"/>
        <v>0</v>
      </c>
      <c r="Z161" s="338">
        <f t="shared" si="224"/>
        <v>0</v>
      </c>
      <c r="AA161" s="199">
        <v>8</v>
      </c>
      <c r="AB161" s="176">
        <v>26</v>
      </c>
      <c r="AC161" s="177">
        <v>1</v>
      </c>
      <c r="AD161" s="238">
        <f t="shared" si="225"/>
        <v>0</v>
      </c>
      <c r="AE161" s="238">
        <f t="shared" si="226"/>
        <v>0</v>
      </c>
      <c r="AF161" s="238">
        <f t="shared" si="227"/>
        <v>0</v>
      </c>
      <c r="AG161" s="255">
        <f>M161*VLOOKUP($AA161,'SKOR PPH'!$B$13:$D$21,3,FALSE)</f>
        <v>0</v>
      </c>
      <c r="AH161" s="238">
        <f>N161*VLOOKUP($AA161,'SKOR PPH'!$B$13:$D$21,3,FALSE)</f>
        <v>0</v>
      </c>
      <c r="AI161" s="238">
        <f>O161*VLOOKUP($AA161,'SKOR PPH'!$B$13:$D$21,3,FALSE)</f>
        <v>0</v>
      </c>
      <c r="AJ161" s="238">
        <f>P161*VLOOKUP($AA161,'SKOR PPH'!$B$13:$D$21,3,FALSE)</f>
        <v>0</v>
      </c>
      <c r="AK161" s="238">
        <f>$AD161*VLOOKUP($AA161,'SKOR PPH'!$B$13:$D$21,3,FALSE)</f>
        <v>0</v>
      </c>
      <c r="AL161" s="255">
        <f>R161*VLOOKUP($AA161,'SKOR PPH'!$B$13:$D$21,3,FALSE)</f>
        <v>0</v>
      </c>
      <c r="AM161" s="238">
        <f>S161*VLOOKUP($AA161,'SKOR PPH'!$B$13:$D$21,3,FALSE)</f>
        <v>0</v>
      </c>
      <c r="AN161" s="238">
        <f>T161*VLOOKUP($AA161,'SKOR PPH'!$B$13:$D$21,3,FALSE)</f>
        <v>0</v>
      </c>
      <c r="AO161" s="238">
        <f>U161*VLOOKUP($AA161,'SKOR PPH'!$B$13:$D$21,3,FALSE)</f>
        <v>0</v>
      </c>
      <c r="AP161" s="238">
        <f>$AE161*VLOOKUP($AA161,'SKOR PPH'!$B$13:$D$21,3,FALSE)</f>
        <v>0</v>
      </c>
      <c r="AQ161" s="255">
        <f>W161*VLOOKUP($AA161,'SKOR PPH'!$B$13:$D$21,3,FALSE)</f>
        <v>0</v>
      </c>
      <c r="AR161" s="238">
        <f>X161*VLOOKUP($AA161,'SKOR PPH'!$B$13:$D$21,3,FALSE)</f>
        <v>0</v>
      </c>
      <c r="AS161" s="238">
        <f>Y161*VLOOKUP($AA161,'SKOR PPH'!$B$13:$D$21,3,FALSE)</f>
        <v>0</v>
      </c>
      <c r="AT161" s="238">
        <f>Z161*VLOOKUP($AA161,'SKOR PPH'!$B$13:$D$21,3,FALSE)</f>
        <v>0</v>
      </c>
      <c r="AU161" s="238">
        <f>$AF161*VLOOKUP($AA161,'SKOR PPH'!$B$13:$D$21,3,FALSE)</f>
        <v>0</v>
      </c>
    </row>
    <row r="162" spans="2:47" ht="15" customHeight="1" x14ac:dyDescent="0.2">
      <c r="B162" s="199" t="s">
        <v>244</v>
      </c>
      <c r="C162" s="207">
        <v>1000</v>
      </c>
      <c r="D162" s="149">
        <v>644</v>
      </c>
      <c r="E162" s="243">
        <v>7</v>
      </c>
      <c r="F162" s="149">
        <v>2.1</v>
      </c>
      <c r="G162" s="261">
        <v>168</v>
      </c>
      <c r="H162" s="208" t="s">
        <v>200</v>
      </c>
      <c r="I162" s="311">
        <v>1.459948240964146E-2</v>
      </c>
      <c r="J162" s="311">
        <v>5.8650932096015657E-2</v>
      </c>
      <c r="K162" s="311">
        <v>7.3250414505657058E-2</v>
      </c>
      <c r="L162" s="144">
        <f t="shared" si="210"/>
        <v>2.0856403442344944</v>
      </c>
      <c r="M162" s="144">
        <f t="shared" si="211"/>
        <v>1.3431523816870143</v>
      </c>
      <c r="N162" s="144">
        <f t="shared" si="212"/>
        <v>1.459948240964146E-2</v>
      </c>
      <c r="O162" s="144">
        <f t="shared" si="213"/>
        <v>4.3798447228924385E-3</v>
      </c>
      <c r="P162" s="144">
        <f t="shared" si="214"/>
        <v>0.35038757783139507</v>
      </c>
      <c r="Q162" s="144">
        <f t="shared" si="215"/>
        <v>8.3787045851450941</v>
      </c>
      <c r="R162" s="144">
        <f t="shared" si="216"/>
        <v>5.3958857528334407</v>
      </c>
      <c r="S162" s="144">
        <f t="shared" si="217"/>
        <v>5.865093209601565E-2</v>
      </c>
      <c r="T162" s="144">
        <f t="shared" si="218"/>
        <v>1.7595279628804698E-2</v>
      </c>
      <c r="U162" s="144">
        <f t="shared" si="219"/>
        <v>1.4076223703043758</v>
      </c>
      <c r="V162" s="338">
        <f t="shared" si="220"/>
        <v>10.46434492937958</v>
      </c>
      <c r="W162" s="338">
        <f t="shared" si="221"/>
        <v>6.7390381345204489</v>
      </c>
      <c r="X162" s="338">
        <f t="shared" si="222"/>
        <v>7.3250414505657058E-2</v>
      </c>
      <c r="Y162" s="338">
        <f t="shared" si="223"/>
        <v>2.1975124351697118E-2</v>
      </c>
      <c r="Z162" s="338">
        <f t="shared" si="224"/>
        <v>1.7580099481357696</v>
      </c>
      <c r="AA162" s="199">
        <v>8</v>
      </c>
      <c r="AB162" s="176">
        <v>26</v>
      </c>
      <c r="AC162" s="177">
        <v>1</v>
      </c>
      <c r="AD162" s="238">
        <f t="shared" si="225"/>
        <v>2.0856403442344944</v>
      </c>
      <c r="AE162" s="238">
        <f t="shared" si="226"/>
        <v>8.3787045851450941</v>
      </c>
      <c r="AF162" s="238">
        <f t="shared" si="227"/>
        <v>10.46434492937958</v>
      </c>
      <c r="AG162" s="255">
        <f>M162*VLOOKUP($AA162,'SKOR PPH'!$B$13:$D$21,3,FALSE)</f>
        <v>1.8868604657939179</v>
      </c>
      <c r="AH162" s="238">
        <f>N162*VLOOKUP($AA162,'SKOR PPH'!$B$13:$D$21,3,FALSE)</f>
        <v>2.0509352889064324E-2</v>
      </c>
      <c r="AI162" s="238">
        <f>O162*VLOOKUP($AA162,'SKOR PPH'!$B$13:$D$21,3,FALSE)</f>
        <v>6.1528058667192978E-3</v>
      </c>
      <c r="AJ162" s="238">
        <f>P162*VLOOKUP($AA162,'SKOR PPH'!$B$13:$D$21,3,FALSE)</f>
        <v>0.49222446933754382</v>
      </c>
      <c r="AK162" s="238">
        <f>$AD162*VLOOKUP($AA162,'SKOR PPH'!$B$13:$D$21,3,FALSE)</f>
        <v>2.929907555580618</v>
      </c>
      <c r="AL162" s="255">
        <f>R162*VLOOKUP($AA162,'SKOR PPH'!$B$13:$D$21,3,FALSE)</f>
        <v>7.580140305580418</v>
      </c>
      <c r="AM162" s="238">
        <f>S162*VLOOKUP($AA162,'SKOR PPH'!$B$13:$D$21,3,FALSE)</f>
        <v>8.239282940848279E-2</v>
      </c>
      <c r="AN162" s="238">
        <f>T162*VLOOKUP($AA162,'SKOR PPH'!$B$13:$D$21,3,FALSE)</f>
        <v>2.4717848822544842E-2</v>
      </c>
      <c r="AO162" s="238">
        <f>U162*VLOOKUP($AA162,'SKOR PPH'!$B$13:$D$21,3,FALSE)</f>
        <v>1.9774279058035871</v>
      </c>
      <c r="AP162" s="238">
        <f>$AE162*VLOOKUP($AA162,'SKOR PPH'!$B$13:$D$21,3,FALSE)</f>
        <v>11.770404201211829</v>
      </c>
      <c r="AQ162" s="255">
        <f>W162*VLOOKUP($AA162,'SKOR PPH'!$B$13:$D$21,3,FALSE)</f>
        <v>9.4670007713743267</v>
      </c>
      <c r="AR162" s="238">
        <f>X162*VLOOKUP($AA162,'SKOR PPH'!$B$13:$D$21,3,FALSE)</f>
        <v>0.10290218229754704</v>
      </c>
      <c r="AS162" s="238">
        <f>Y162*VLOOKUP($AA162,'SKOR PPH'!$B$13:$D$21,3,FALSE)</f>
        <v>3.0870654689264112E-2</v>
      </c>
      <c r="AT162" s="238">
        <f>Z162*VLOOKUP($AA162,'SKOR PPH'!$B$13:$D$21,3,FALSE)</f>
        <v>2.4696523751411292</v>
      </c>
      <c r="AU162" s="238">
        <f>$AF162*VLOOKUP($AA162,'SKOR PPH'!$B$13:$D$21,3,FALSE)</f>
        <v>14.700311756792434</v>
      </c>
    </row>
    <row r="163" spans="2:47" ht="15" customHeight="1" x14ac:dyDescent="0.2">
      <c r="B163" s="199" t="s">
        <v>245</v>
      </c>
      <c r="C163" s="207">
        <v>1000</v>
      </c>
      <c r="D163" s="149">
        <v>928.8</v>
      </c>
      <c r="E163" s="243">
        <v>11.18</v>
      </c>
      <c r="F163" s="149">
        <v>2.58</v>
      </c>
      <c r="G163" s="261">
        <v>242.52</v>
      </c>
      <c r="H163" s="208" t="s">
        <v>200</v>
      </c>
      <c r="I163" s="311">
        <v>0</v>
      </c>
      <c r="J163" s="311">
        <v>0</v>
      </c>
      <c r="K163" s="311">
        <v>0</v>
      </c>
      <c r="L163" s="144">
        <f t="shared" si="210"/>
        <v>0</v>
      </c>
      <c r="M163" s="144">
        <f t="shared" si="211"/>
        <v>0</v>
      </c>
      <c r="N163" s="144">
        <f t="shared" si="212"/>
        <v>0</v>
      </c>
      <c r="O163" s="144">
        <f t="shared" si="213"/>
        <v>0</v>
      </c>
      <c r="P163" s="144">
        <f t="shared" si="214"/>
        <v>0</v>
      </c>
      <c r="Q163" s="144">
        <f t="shared" si="215"/>
        <v>0</v>
      </c>
      <c r="R163" s="144">
        <f t="shared" si="216"/>
        <v>0</v>
      </c>
      <c r="S163" s="144">
        <f t="shared" si="217"/>
        <v>0</v>
      </c>
      <c r="T163" s="144">
        <f t="shared" si="218"/>
        <v>0</v>
      </c>
      <c r="U163" s="144">
        <f t="shared" si="219"/>
        <v>0</v>
      </c>
      <c r="V163" s="338">
        <f t="shared" si="220"/>
        <v>0</v>
      </c>
      <c r="W163" s="338">
        <f t="shared" si="221"/>
        <v>0</v>
      </c>
      <c r="X163" s="338">
        <f t="shared" si="222"/>
        <v>0</v>
      </c>
      <c r="Y163" s="338">
        <f t="shared" si="223"/>
        <v>0</v>
      </c>
      <c r="Z163" s="338">
        <f t="shared" si="224"/>
        <v>0</v>
      </c>
      <c r="AA163" s="199">
        <v>8</v>
      </c>
      <c r="AB163" s="176">
        <v>26</v>
      </c>
      <c r="AC163" s="177">
        <v>1</v>
      </c>
      <c r="AD163" s="238">
        <f t="shared" si="225"/>
        <v>0</v>
      </c>
      <c r="AE163" s="238">
        <f t="shared" si="226"/>
        <v>0</v>
      </c>
      <c r="AF163" s="238">
        <f t="shared" si="227"/>
        <v>0</v>
      </c>
      <c r="AG163" s="255">
        <f>M163*VLOOKUP($AA163,'SKOR PPH'!$B$13:$D$21,3,FALSE)</f>
        <v>0</v>
      </c>
      <c r="AH163" s="238">
        <f>N163*VLOOKUP($AA163,'SKOR PPH'!$B$13:$D$21,3,FALSE)</f>
        <v>0</v>
      </c>
      <c r="AI163" s="238">
        <f>O163*VLOOKUP($AA163,'SKOR PPH'!$B$13:$D$21,3,FALSE)</f>
        <v>0</v>
      </c>
      <c r="AJ163" s="238">
        <f>P163*VLOOKUP($AA163,'SKOR PPH'!$B$13:$D$21,3,FALSE)</f>
        <v>0</v>
      </c>
      <c r="AK163" s="238">
        <f>$AD163*VLOOKUP($AA163,'SKOR PPH'!$B$13:$D$21,3,FALSE)</f>
        <v>0</v>
      </c>
      <c r="AL163" s="255">
        <f>R163*VLOOKUP($AA163,'SKOR PPH'!$B$13:$D$21,3,FALSE)</f>
        <v>0</v>
      </c>
      <c r="AM163" s="238">
        <f>S163*VLOOKUP($AA163,'SKOR PPH'!$B$13:$D$21,3,FALSE)</f>
        <v>0</v>
      </c>
      <c r="AN163" s="238">
        <f>T163*VLOOKUP($AA163,'SKOR PPH'!$B$13:$D$21,3,FALSE)</f>
        <v>0</v>
      </c>
      <c r="AO163" s="238">
        <f>U163*VLOOKUP($AA163,'SKOR PPH'!$B$13:$D$21,3,FALSE)</f>
        <v>0</v>
      </c>
      <c r="AP163" s="238">
        <f>$AE163*VLOOKUP($AA163,'SKOR PPH'!$B$13:$D$21,3,FALSE)</f>
        <v>0</v>
      </c>
      <c r="AQ163" s="255">
        <f>W163*VLOOKUP($AA163,'SKOR PPH'!$B$13:$D$21,3,FALSE)</f>
        <v>0</v>
      </c>
      <c r="AR163" s="238">
        <f>X163*VLOOKUP($AA163,'SKOR PPH'!$B$13:$D$21,3,FALSE)</f>
        <v>0</v>
      </c>
      <c r="AS163" s="238">
        <f>Y163*VLOOKUP($AA163,'SKOR PPH'!$B$13:$D$21,3,FALSE)</f>
        <v>0</v>
      </c>
      <c r="AT163" s="238">
        <f>Z163*VLOOKUP($AA163,'SKOR PPH'!$B$13:$D$21,3,FALSE)</f>
        <v>0</v>
      </c>
      <c r="AU163" s="238">
        <f>$AF163*VLOOKUP($AA163,'SKOR PPH'!$B$13:$D$21,3,FALSE)</f>
        <v>0</v>
      </c>
    </row>
    <row r="164" spans="2:47" ht="15" customHeight="1" x14ac:dyDescent="0.2">
      <c r="B164" s="199" t="s">
        <v>246</v>
      </c>
      <c r="C164" s="207">
        <v>1000</v>
      </c>
      <c r="D164" s="149">
        <v>1131.0999999999999</v>
      </c>
      <c r="E164" s="243">
        <v>10.06</v>
      </c>
      <c r="F164" s="149">
        <v>6.03</v>
      </c>
      <c r="G164" s="261">
        <v>264.82</v>
      </c>
      <c r="H164" s="208" t="s">
        <v>200</v>
      </c>
      <c r="I164" s="311">
        <v>0</v>
      </c>
      <c r="J164" s="311">
        <v>0</v>
      </c>
      <c r="K164" s="311">
        <v>0</v>
      </c>
      <c r="L164" s="144">
        <f t="shared" si="210"/>
        <v>0</v>
      </c>
      <c r="M164" s="144">
        <f t="shared" si="211"/>
        <v>0</v>
      </c>
      <c r="N164" s="144">
        <f t="shared" si="212"/>
        <v>0</v>
      </c>
      <c r="O164" s="144">
        <f t="shared" si="213"/>
        <v>0</v>
      </c>
      <c r="P164" s="144">
        <f t="shared" si="214"/>
        <v>0</v>
      </c>
      <c r="Q164" s="144">
        <f t="shared" si="215"/>
        <v>0</v>
      </c>
      <c r="R164" s="144">
        <f t="shared" si="216"/>
        <v>0</v>
      </c>
      <c r="S164" s="144">
        <f t="shared" si="217"/>
        <v>0</v>
      </c>
      <c r="T164" s="144">
        <f t="shared" si="218"/>
        <v>0</v>
      </c>
      <c r="U164" s="144">
        <f t="shared" si="219"/>
        <v>0</v>
      </c>
      <c r="V164" s="338">
        <f t="shared" si="220"/>
        <v>0</v>
      </c>
      <c r="W164" s="338">
        <f t="shared" si="221"/>
        <v>0</v>
      </c>
      <c r="X164" s="338">
        <f t="shared" si="222"/>
        <v>0</v>
      </c>
      <c r="Y164" s="338">
        <f t="shared" si="223"/>
        <v>0</v>
      </c>
      <c r="Z164" s="338">
        <f t="shared" si="224"/>
        <v>0</v>
      </c>
      <c r="AA164" s="199">
        <v>8</v>
      </c>
      <c r="AB164" s="176">
        <v>26</v>
      </c>
      <c r="AC164" s="177">
        <v>1</v>
      </c>
      <c r="AD164" s="238">
        <f t="shared" si="225"/>
        <v>0</v>
      </c>
      <c r="AE164" s="238">
        <f t="shared" si="226"/>
        <v>0</v>
      </c>
      <c r="AF164" s="238">
        <f t="shared" si="227"/>
        <v>0</v>
      </c>
      <c r="AG164" s="255">
        <f>M164*VLOOKUP($AA164,'SKOR PPH'!$B$13:$D$21,3,FALSE)</f>
        <v>0</v>
      </c>
      <c r="AH164" s="238">
        <f>N164*VLOOKUP($AA164,'SKOR PPH'!$B$13:$D$21,3,FALSE)</f>
        <v>0</v>
      </c>
      <c r="AI164" s="238">
        <f>O164*VLOOKUP($AA164,'SKOR PPH'!$B$13:$D$21,3,FALSE)</f>
        <v>0</v>
      </c>
      <c r="AJ164" s="238">
        <f>P164*VLOOKUP($AA164,'SKOR PPH'!$B$13:$D$21,3,FALSE)</f>
        <v>0</v>
      </c>
      <c r="AK164" s="238">
        <f>$AD164*VLOOKUP($AA164,'SKOR PPH'!$B$13:$D$21,3,FALSE)</f>
        <v>0</v>
      </c>
      <c r="AL164" s="255">
        <f>R164*VLOOKUP($AA164,'SKOR PPH'!$B$13:$D$21,3,FALSE)</f>
        <v>0</v>
      </c>
      <c r="AM164" s="238">
        <f>S164*VLOOKUP($AA164,'SKOR PPH'!$B$13:$D$21,3,FALSE)</f>
        <v>0</v>
      </c>
      <c r="AN164" s="238">
        <f>T164*VLOOKUP($AA164,'SKOR PPH'!$B$13:$D$21,3,FALSE)</f>
        <v>0</v>
      </c>
      <c r="AO164" s="238">
        <f>U164*VLOOKUP($AA164,'SKOR PPH'!$B$13:$D$21,3,FALSE)</f>
        <v>0</v>
      </c>
      <c r="AP164" s="238">
        <f>$AE164*VLOOKUP($AA164,'SKOR PPH'!$B$13:$D$21,3,FALSE)</f>
        <v>0</v>
      </c>
      <c r="AQ164" s="255">
        <f>W164*VLOOKUP($AA164,'SKOR PPH'!$B$13:$D$21,3,FALSE)</f>
        <v>0</v>
      </c>
      <c r="AR164" s="238">
        <f>X164*VLOOKUP($AA164,'SKOR PPH'!$B$13:$D$21,3,FALSE)</f>
        <v>0</v>
      </c>
      <c r="AS164" s="238">
        <f>Y164*VLOOKUP($AA164,'SKOR PPH'!$B$13:$D$21,3,FALSE)</f>
        <v>0</v>
      </c>
      <c r="AT164" s="238">
        <f>Z164*VLOOKUP($AA164,'SKOR PPH'!$B$13:$D$21,3,FALSE)</f>
        <v>0</v>
      </c>
      <c r="AU164" s="238">
        <f>$AF164*VLOOKUP($AA164,'SKOR PPH'!$B$13:$D$21,3,FALSE)</f>
        <v>0</v>
      </c>
    </row>
    <row r="165" spans="2:47" ht="15" customHeight="1" x14ac:dyDescent="0.2">
      <c r="B165" s="199" t="s">
        <v>388</v>
      </c>
      <c r="C165" s="207">
        <v>1000</v>
      </c>
      <c r="D165" s="149">
        <v>345</v>
      </c>
      <c r="E165" s="243">
        <v>3.75</v>
      </c>
      <c r="F165" s="149">
        <v>0</v>
      </c>
      <c r="G165" s="261">
        <v>91.5</v>
      </c>
      <c r="H165" s="208" t="s">
        <v>200</v>
      </c>
      <c r="I165" s="311">
        <v>1.1217814052426729E-2</v>
      </c>
      <c r="J165" s="311">
        <v>2.1126993155526772E-2</v>
      </c>
      <c r="K165" s="311">
        <v>3.2344807207953491E-2</v>
      </c>
      <c r="L165" s="144">
        <f t="shared" si="210"/>
        <v>1.6025448646323899</v>
      </c>
      <c r="M165" s="144">
        <f t="shared" si="211"/>
        <v>0.55287797829817453</v>
      </c>
      <c r="N165" s="144">
        <f t="shared" si="212"/>
        <v>6.0095432423714623E-3</v>
      </c>
      <c r="O165" s="144">
        <f t="shared" si="213"/>
        <v>0</v>
      </c>
      <c r="P165" s="144">
        <f t="shared" si="214"/>
        <v>0.14663285511386367</v>
      </c>
      <c r="Q165" s="144">
        <f t="shared" si="215"/>
        <v>3.0181418793609676</v>
      </c>
      <c r="R165" s="144">
        <f t="shared" si="216"/>
        <v>1.0412589483795338</v>
      </c>
      <c r="S165" s="144">
        <f t="shared" si="217"/>
        <v>1.1318032047603626E-2</v>
      </c>
      <c r="T165" s="144">
        <f t="shared" si="218"/>
        <v>0</v>
      </c>
      <c r="U165" s="144">
        <f t="shared" si="219"/>
        <v>0.27615998196152852</v>
      </c>
      <c r="V165" s="338">
        <f t="shared" si="220"/>
        <v>4.6206867439933559</v>
      </c>
      <c r="W165" s="338">
        <f t="shared" si="221"/>
        <v>1.5941369266777077</v>
      </c>
      <c r="X165" s="338">
        <f t="shared" si="222"/>
        <v>1.7327575289975083E-2</v>
      </c>
      <c r="Y165" s="338">
        <f t="shared" si="223"/>
        <v>0</v>
      </c>
      <c r="Z165" s="338">
        <f t="shared" si="224"/>
        <v>0.42279283707539206</v>
      </c>
      <c r="AA165" s="199">
        <v>8</v>
      </c>
      <c r="AB165" s="176">
        <v>26</v>
      </c>
      <c r="AC165" s="177">
        <v>1</v>
      </c>
      <c r="AD165" s="238">
        <f t="shared" si="225"/>
        <v>1.6025448646323899</v>
      </c>
      <c r="AE165" s="238">
        <f t="shared" si="226"/>
        <v>3.0181418793609676</v>
      </c>
      <c r="AF165" s="238">
        <f t="shared" si="227"/>
        <v>4.6206867439933559</v>
      </c>
      <c r="AG165" s="255">
        <f>M165*VLOOKUP($AA165,'SKOR PPH'!$B$13:$D$21,3,FALSE)</f>
        <v>0.77668298391327562</v>
      </c>
      <c r="AH165" s="238">
        <f>N165*VLOOKUP($AA165,'SKOR PPH'!$B$13:$D$21,3,FALSE)</f>
        <v>8.4422063468834307E-3</v>
      </c>
      <c r="AI165" s="238">
        <f>O165*VLOOKUP($AA165,'SKOR PPH'!$B$13:$D$21,3,FALSE)</f>
        <v>0</v>
      </c>
      <c r="AJ165" s="238">
        <f>P165*VLOOKUP($AA165,'SKOR PPH'!$B$13:$D$21,3,FALSE)</f>
        <v>0.2059898348639557</v>
      </c>
      <c r="AK165" s="238">
        <f>$AD165*VLOOKUP($AA165,'SKOR PPH'!$B$13:$D$21,3,FALSE)</f>
        <v>2.2512550258355812</v>
      </c>
      <c r="AL165" s="255">
        <f>R165*VLOOKUP($AA165,'SKOR PPH'!$B$13:$D$21,3,FALSE)</f>
        <v>1.4627605706835691</v>
      </c>
      <c r="AM165" s="238">
        <f>S165*VLOOKUP($AA165,'SKOR PPH'!$B$13:$D$21,3,FALSE)</f>
        <v>1.5899571420473574E-2</v>
      </c>
      <c r="AN165" s="238">
        <f>T165*VLOOKUP($AA165,'SKOR PPH'!$B$13:$D$21,3,FALSE)</f>
        <v>0</v>
      </c>
      <c r="AO165" s="238">
        <f>U165*VLOOKUP($AA165,'SKOR PPH'!$B$13:$D$21,3,FALSE)</f>
        <v>0.38794954265955528</v>
      </c>
      <c r="AP165" s="238">
        <f>$AE165*VLOOKUP($AA165,'SKOR PPH'!$B$13:$D$21,3,FALSE)</f>
        <v>4.239885712126287</v>
      </c>
      <c r="AQ165" s="255">
        <f>W165*VLOOKUP($AA165,'SKOR PPH'!$B$13:$D$21,3,FALSE)</f>
        <v>2.2394435545968436</v>
      </c>
      <c r="AR165" s="238">
        <f>X165*VLOOKUP($AA165,'SKOR PPH'!$B$13:$D$21,3,FALSE)</f>
        <v>2.4341777767356999E-2</v>
      </c>
      <c r="AS165" s="238">
        <f>Y165*VLOOKUP($AA165,'SKOR PPH'!$B$13:$D$21,3,FALSE)</f>
        <v>0</v>
      </c>
      <c r="AT165" s="238">
        <f>Z165*VLOOKUP($AA165,'SKOR PPH'!$B$13:$D$21,3,FALSE)</f>
        <v>0.59393937752351078</v>
      </c>
      <c r="AU165" s="238">
        <f>$AF165*VLOOKUP($AA165,'SKOR PPH'!$B$13:$D$21,3,FALSE)</f>
        <v>6.4911407379618664</v>
      </c>
    </row>
    <row r="166" spans="2:47" ht="15" customHeight="1" x14ac:dyDescent="0.2">
      <c r="B166" s="199" t="s">
        <v>247</v>
      </c>
      <c r="C166" s="207">
        <v>1000</v>
      </c>
      <c r="D166" s="149">
        <v>441.8</v>
      </c>
      <c r="E166" s="243">
        <v>5.78</v>
      </c>
      <c r="F166" s="149">
        <v>2.92</v>
      </c>
      <c r="G166" s="261">
        <v>110.9</v>
      </c>
      <c r="H166" s="208" t="s">
        <v>200</v>
      </c>
      <c r="I166" s="311">
        <v>0</v>
      </c>
      <c r="J166" s="311">
        <v>0</v>
      </c>
      <c r="K166" s="311">
        <v>0</v>
      </c>
      <c r="L166" s="144">
        <f t="shared" si="210"/>
        <v>0</v>
      </c>
      <c r="M166" s="144">
        <f t="shared" si="211"/>
        <v>0</v>
      </c>
      <c r="N166" s="144">
        <f t="shared" si="212"/>
        <v>0</v>
      </c>
      <c r="O166" s="144">
        <f t="shared" si="213"/>
        <v>0</v>
      </c>
      <c r="P166" s="144">
        <f t="shared" si="214"/>
        <v>0</v>
      </c>
      <c r="Q166" s="144">
        <f t="shared" si="215"/>
        <v>0</v>
      </c>
      <c r="R166" s="144">
        <f t="shared" si="216"/>
        <v>0</v>
      </c>
      <c r="S166" s="144">
        <f t="shared" si="217"/>
        <v>0</v>
      </c>
      <c r="T166" s="144">
        <f t="shared" si="218"/>
        <v>0</v>
      </c>
      <c r="U166" s="144">
        <f t="shared" si="219"/>
        <v>0</v>
      </c>
      <c r="V166" s="338">
        <f t="shared" si="220"/>
        <v>0</v>
      </c>
      <c r="W166" s="338">
        <f t="shared" si="221"/>
        <v>0</v>
      </c>
      <c r="X166" s="338">
        <f t="shared" si="222"/>
        <v>0</v>
      </c>
      <c r="Y166" s="338">
        <f t="shared" si="223"/>
        <v>0</v>
      </c>
      <c r="Z166" s="338">
        <f t="shared" si="224"/>
        <v>0</v>
      </c>
      <c r="AA166" s="199">
        <v>8</v>
      </c>
      <c r="AB166" s="176">
        <v>26</v>
      </c>
      <c r="AC166" s="177">
        <v>1</v>
      </c>
      <c r="AD166" s="238">
        <f t="shared" si="225"/>
        <v>0</v>
      </c>
      <c r="AE166" s="238">
        <f t="shared" si="226"/>
        <v>0</v>
      </c>
      <c r="AF166" s="238">
        <f t="shared" si="227"/>
        <v>0</v>
      </c>
      <c r="AG166" s="255">
        <f>M166*VLOOKUP($AA166,'SKOR PPH'!$B$13:$D$21,3,FALSE)</f>
        <v>0</v>
      </c>
      <c r="AH166" s="238">
        <f>N166*VLOOKUP($AA166,'SKOR PPH'!$B$13:$D$21,3,FALSE)</f>
        <v>0</v>
      </c>
      <c r="AI166" s="238">
        <f>O166*VLOOKUP($AA166,'SKOR PPH'!$B$13:$D$21,3,FALSE)</f>
        <v>0</v>
      </c>
      <c r="AJ166" s="238">
        <f>P166*VLOOKUP($AA166,'SKOR PPH'!$B$13:$D$21,3,FALSE)</f>
        <v>0</v>
      </c>
      <c r="AK166" s="238">
        <f>$AD166*VLOOKUP($AA166,'SKOR PPH'!$B$13:$D$21,3,FALSE)</f>
        <v>0</v>
      </c>
      <c r="AL166" s="255">
        <f>R166*VLOOKUP($AA166,'SKOR PPH'!$B$13:$D$21,3,FALSE)</f>
        <v>0</v>
      </c>
      <c r="AM166" s="238">
        <f>S166*VLOOKUP($AA166,'SKOR PPH'!$B$13:$D$21,3,FALSE)</f>
        <v>0</v>
      </c>
      <c r="AN166" s="238">
        <f>T166*VLOOKUP($AA166,'SKOR PPH'!$B$13:$D$21,3,FALSE)</f>
        <v>0</v>
      </c>
      <c r="AO166" s="238">
        <f>U166*VLOOKUP($AA166,'SKOR PPH'!$B$13:$D$21,3,FALSE)</f>
        <v>0</v>
      </c>
      <c r="AP166" s="238">
        <f>$AE166*VLOOKUP($AA166,'SKOR PPH'!$B$13:$D$21,3,FALSE)</f>
        <v>0</v>
      </c>
      <c r="AQ166" s="255">
        <f>W166*VLOOKUP($AA166,'SKOR PPH'!$B$13:$D$21,3,FALSE)</f>
        <v>0</v>
      </c>
      <c r="AR166" s="238">
        <f>X166*VLOOKUP($AA166,'SKOR PPH'!$B$13:$D$21,3,FALSE)</f>
        <v>0</v>
      </c>
      <c r="AS166" s="238">
        <f>Y166*VLOOKUP($AA166,'SKOR PPH'!$B$13:$D$21,3,FALSE)</f>
        <v>0</v>
      </c>
      <c r="AT166" s="238">
        <f>Z166*VLOOKUP($AA166,'SKOR PPH'!$B$13:$D$21,3,FALSE)</f>
        <v>0</v>
      </c>
      <c r="AU166" s="238">
        <f>$AF166*VLOOKUP($AA166,'SKOR PPH'!$B$13:$D$21,3,FALSE)</f>
        <v>0</v>
      </c>
    </row>
    <row r="167" spans="2:47" ht="15" customHeight="1" x14ac:dyDescent="0.2">
      <c r="B167" s="199" t="s">
        <v>248</v>
      </c>
      <c r="C167" s="207">
        <v>1000</v>
      </c>
      <c r="D167" s="149">
        <v>665.5</v>
      </c>
      <c r="E167" s="243">
        <v>6.94</v>
      </c>
      <c r="F167" s="149">
        <v>19.47</v>
      </c>
      <c r="G167" s="261">
        <v>115.24</v>
      </c>
      <c r="H167" s="208" t="s">
        <v>200</v>
      </c>
      <c r="I167" s="311">
        <v>0</v>
      </c>
      <c r="J167" s="311">
        <v>0</v>
      </c>
      <c r="K167" s="311">
        <v>0</v>
      </c>
      <c r="L167" s="144">
        <f t="shared" si="210"/>
        <v>0</v>
      </c>
      <c r="M167" s="144">
        <f t="shared" si="211"/>
        <v>0</v>
      </c>
      <c r="N167" s="144">
        <f t="shared" si="212"/>
        <v>0</v>
      </c>
      <c r="O167" s="144">
        <f t="shared" si="213"/>
        <v>0</v>
      </c>
      <c r="P167" s="144">
        <f t="shared" si="214"/>
        <v>0</v>
      </c>
      <c r="Q167" s="144">
        <f t="shared" si="215"/>
        <v>0</v>
      </c>
      <c r="R167" s="144">
        <f t="shared" si="216"/>
        <v>0</v>
      </c>
      <c r="S167" s="144">
        <f t="shared" si="217"/>
        <v>0</v>
      </c>
      <c r="T167" s="144">
        <f t="shared" si="218"/>
        <v>0</v>
      </c>
      <c r="U167" s="144">
        <f t="shared" si="219"/>
        <v>0</v>
      </c>
      <c r="V167" s="338">
        <f t="shared" si="220"/>
        <v>0</v>
      </c>
      <c r="W167" s="338">
        <f t="shared" si="221"/>
        <v>0</v>
      </c>
      <c r="X167" s="338">
        <f t="shared" si="222"/>
        <v>0</v>
      </c>
      <c r="Y167" s="338">
        <f t="shared" si="223"/>
        <v>0</v>
      </c>
      <c r="Z167" s="338">
        <f t="shared" si="224"/>
        <v>0</v>
      </c>
      <c r="AA167" s="199">
        <v>8</v>
      </c>
      <c r="AB167" s="176">
        <v>26</v>
      </c>
      <c r="AC167" s="177">
        <v>1</v>
      </c>
      <c r="AD167" s="238">
        <f t="shared" si="225"/>
        <v>0</v>
      </c>
      <c r="AE167" s="238">
        <f t="shared" si="226"/>
        <v>0</v>
      </c>
      <c r="AF167" s="238">
        <f t="shared" si="227"/>
        <v>0</v>
      </c>
      <c r="AG167" s="255">
        <f>M167*VLOOKUP($AA167,'SKOR PPH'!$B$13:$D$21,3,FALSE)</f>
        <v>0</v>
      </c>
      <c r="AH167" s="238">
        <f>N167*VLOOKUP($AA167,'SKOR PPH'!$B$13:$D$21,3,FALSE)</f>
        <v>0</v>
      </c>
      <c r="AI167" s="238">
        <f>O167*VLOOKUP($AA167,'SKOR PPH'!$B$13:$D$21,3,FALSE)</f>
        <v>0</v>
      </c>
      <c r="AJ167" s="238">
        <f>P167*VLOOKUP($AA167,'SKOR PPH'!$B$13:$D$21,3,FALSE)</f>
        <v>0</v>
      </c>
      <c r="AK167" s="238">
        <f>$AD167*VLOOKUP($AA167,'SKOR PPH'!$B$13:$D$21,3,FALSE)</f>
        <v>0</v>
      </c>
      <c r="AL167" s="255">
        <f>R167*VLOOKUP($AA167,'SKOR PPH'!$B$13:$D$21,3,FALSE)</f>
        <v>0</v>
      </c>
      <c r="AM167" s="238">
        <f>S167*VLOOKUP($AA167,'SKOR PPH'!$B$13:$D$21,3,FALSE)</f>
        <v>0</v>
      </c>
      <c r="AN167" s="238">
        <f>T167*VLOOKUP($AA167,'SKOR PPH'!$B$13:$D$21,3,FALSE)</f>
        <v>0</v>
      </c>
      <c r="AO167" s="238">
        <f>U167*VLOOKUP($AA167,'SKOR PPH'!$B$13:$D$21,3,FALSE)</f>
        <v>0</v>
      </c>
      <c r="AP167" s="238">
        <f>$AE167*VLOOKUP($AA167,'SKOR PPH'!$B$13:$D$21,3,FALSE)</f>
        <v>0</v>
      </c>
      <c r="AQ167" s="255">
        <f>W167*VLOOKUP($AA167,'SKOR PPH'!$B$13:$D$21,3,FALSE)</f>
        <v>0</v>
      </c>
      <c r="AR167" s="238">
        <f>X167*VLOOKUP($AA167,'SKOR PPH'!$B$13:$D$21,3,FALSE)</f>
        <v>0</v>
      </c>
      <c r="AS167" s="238">
        <f>Y167*VLOOKUP($AA167,'SKOR PPH'!$B$13:$D$21,3,FALSE)</f>
        <v>0</v>
      </c>
      <c r="AT167" s="238">
        <f>Z167*VLOOKUP($AA167,'SKOR PPH'!$B$13:$D$21,3,FALSE)</f>
        <v>0</v>
      </c>
      <c r="AU167" s="238">
        <f>$AF167*VLOOKUP($AA167,'SKOR PPH'!$B$13:$D$21,3,FALSE)</f>
        <v>0</v>
      </c>
    </row>
    <row r="168" spans="2:47" ht="15" customHeight="1" x14ac:dyDescent="0.2">
      <c r="B168" s="199" t="s">
        <v>249</v>
      </c>
      <c r="C168" s="207">
        <v>1000</v>
      </c>
      <c r="D168" s="149">
        <v>309.60000000000002</v>
      </c>
      <c r="E168" s="243">
        <v>3.44</v>
      </c>
      <c r="F168" s="149">
        <v>3.44</v>
      </c>
      <c r="G168" s="261">
        <v>75.680000000000007</v>
      </c>
      <c r="H168" s="208" t="s">
        <v>200</v>
      </c>
      <c r="I168" s="311">
        <v>0</v>
      </c>
      <c r="J168" s="311">
        <v>0</v>
      </c>
      <c r="K168" s="311">
        <v>0</v>
      </c>
      <c r="L168" s="144">
        <f t="shared" si="210"/>
        <v>0</v>
      </c>
      <c r="M168" s="144">
        <f t="shared" si="211"/>
        <v>0</v>
      </c>
      <c r="N168" s="144">
        <f t="shared" si="212"/>
        <v>0</v>
      </c>
      <c r="O168" s="144">
        <f t="shared" si="213"/>
        <v>0</v>
      </c>
      <c r="P168" s="144">
        <f t="shared" si="214"/>
        <v>0</v>
      </c>
      <c r="Q168" s="144">
        <f t="shared" si="215"/>
        <v>0</v>
      </c>
      <c r="R168" s="144">
        <f t="shared" si="216"/>
        <v>0</v>
      </c>
      <c r="S168" s="144">
        <f t="shared" si="217"/>
        <v>0</v>
      </c>
      <c r="T168" s="144">
        <f t="shared" si="218"/>
        <v>0</v>
      </c>
      <c r="U168" s="144">
        <f t="shared" si="219"/>
        <v>0</v>
      </c>
      <c r="V168" s="338">
        <f t="shared" si="220"/>
        <v>0</v>
      </c>
      <c r="W168" s="338">
        <f t="shared" si="221"/>
        <v>0</v>
      </c>
      <c r="X168" s="338">
        <f t="shared" si="222"/>
        <v>0</v>
      </c>
      <c r="Y168" s="338">
        <f t="shared" si="223"/>
        <v>0</v>
      </c>
      <c r="Z168" s="338">
        <f t="shared" si="224"/>
        <v>0</v>
      </c>
      <c r="AA168" s="199">
        <v>8</v>
      </c>
      <c r="AB168" s="176">
        <v>26</v>
      </c>
      <c r="AC168" s="177">
        <v>1</v>
      </c>
      <c r="AD168" s="238">
        <f t="shared" si="225"/>
        <v>0</v>
      </c>
      <c r="AE168" s="238">
        <f t="shared" si="226"/>
        <v>0</v>
      </c>
      <c r="AF168" s="238">
        <f t="shared" si="227"/>
        <v>0</v>
      </c>
      <c r="AG168" s="255">
        <f>M168*VLOOKUP($AA168,'SKOR PPH'!$B$13:$D$21,3,FALSE)</f>
        <v>0</v>
      </c>
      <c r="AH168" s="238">
        <f>N168*VLOOKUP($AA168,'SKOR PPH'!$B$13:$D$21,3,FALSE)</f>
        <v>0</v>
      </c>
      <c r="AI168" s="238">
        <f>O168*VLOOKUP($AA168,'SKOR PPH'!$B$13:$D$21,3,FALSE)</f>
        <v>0</v>
      </c>
      <c r="AJ168" s="238">
        <f>P168*VLOOKUP($AA168,'SKOR PPH'!$B$13:$D$21,3,FALSE)</f>
        <v>0</v>
      </c>
      <c r="AK168" s="238">
        <f>$AD168*VLOOKUP($AA168,'SKOR PPH'!$B$13:$D$21,3,FALSE)</f>
        <v>0</v>
      </c>
      <c r="AL168" s="255">
        <f>R168*VLOOKUP($AA168,'SKOR PPH'!$B$13:$D$21,3,FALSE)</f>
        <v>0</v>
      </c>
      <c r="AM168" s="238">
        <f>S168*VLOOKUP($AA168,'SKOR PPH'!$B$13:$D$21,3,FALSE)</f>
        <v>0</v>
      </c>
      <c r="AN168" s="238">
        <f>T168*VLOOKUP($AA168,'SKOR PPH'!$B$13:$D$21,3,FALSE)</f>
        <v>0</v>
      </c>
      <c r="AO168" s="238">
        <f>U168*VLOOKUP($AA168,'SKOR PPH'!$B$13:$D$21,3,FALSE)</f>
        <v>0</v>
      </c>
      <c r="AP168" s="238">
        <f>$AE168*VLOOKUP($AA168,'SKOR PPH'!$B$13:$D$21,3,FALSE)</f>
        <v>0</v>
      </c>
      <c r="AQ168" s="255">
        <f>W168*VLOOKUP($AA168,'SKOR PPH'!$B$13:$D$21,3,FALSE)</f>
        <v>0</v>
      </c>
      <c r="AR168" s="238">
        <f>X168*VLOOKUP($AA168,'SKOR PPH'!$B$13:$D$21,3,FALSE)</f>
        <v>0</v>
      </c>
      <c r="AS168" s="238">
        <f>Y168*VLOOKUP($AA168,'SKOR PPH'!$B$13:$D$21,3,FALSE)</f>
        <v>0</v>
      </c>
      <c r="AT168" s="238">
        <f>Z168*VLOOKUP($AA168,'SKOR PPH'!$B$13:$D$21,3,FALSE)</f>
        <v>0</v>
      </c>
      <c r="AU168" s="238">
        <f>$AF168*VLOOKUP($AA168,'SKOR PPH'!$B$13:$D$21,3,FALSE)</f>
        <v>0</v>
      </c>
    </row>
    <row r="169" spans="2:47" ht="15" customHeight="1" x14ac:dyDescent="0.2">
      <c r="B169" s="199" t="s">
        <v>250</v>
      </c>
      <c r="C169" s="207">
        <v>1000</v>
      </c>
      <c r="D169" s="149">
        <v>237.8</v>
      </c>
      <c r="E169" s="243">
        <v>5.8</v>
      </c>
      <c r="F169" s="149">
        <v>0.57999999999999996</v>
      </c>
      <c r="G169" s="261">
        <v>59.74</v>
      </c>
      <c r="H169" s="208" t="s">
        <v>200</v>
      </c>
      <c r="I169" s="311">
        <v>0</v>
      </c>
      <c r="J169" s="311">
        <v>0</v>
      </c>
      <c r="K169" s="311">
        <v>0</v>
      </c>
      <c r="L169" s="144">
        <f t="shared" si="210"/>
        <v>0</v>
      </c>
      <c r="M169" s="144">
        <f t="shared" si="211"/>
        <v>0</v>
      </c>
      <c r="N169" s="144">
        <f t="shared" si="212"/>
        <v>0</v>
      </c>
      <c r="O169" s="144">
        <f t="shared" si="213"/>
        <v>0</v>
      </c>
      <c r="P169" s="144">
        <f t="shared" si="214"/>
        <v>0</v>
      </c>
      <c r="Q169" s="144">
        <f t="shared" si="215"/>
        <v>0</v>
      </c>
      <c r="R169" s="144">
        <f t="shared" si="216"/>
        <v>0</v>
      </c>
      <c r="S169" s="144">
        <f t="shared" si="217"/>
        <v>0</v>
      </c>
      <c r="T169" s="144">
        <f t="shared" si="218"/>
        <v>0</v>
      </c>
      <c r="U169" s="144">
        <f t="shared" si="219"/>
        <v>0</v>
      </c>
      <c r="V169" s="338">
        <f t="shared" si="220"/>
        <v>0</v>
      </c>
      <c r="W169" s="338">
        <f t="shared" si="221"/>
        <v>0</v>
      </c>
      <c r="X169" s="338">
        <f t="shared" si="222"/>
        <v>0</v>
      </c>
      <c r="Y169" s="338">
        <f t="shared" si="223"/>
        <v>0</v>
      </c>
      <c r="Z169" s="338">
        <f t="shared" si="224"/>
        <v>0</v>
      </c>
      <c r="AA169" s="199">
        <v>8</v>
      </c>
      <c r="AB169" s="176">
        <v>26</v>
      </c>
      <c r="AC169" s="177">
        <v>1</v>
      </c>
      <c r="AD169" s="238">
        <f t="shared" si="225"/>
        <v>0</v>
      </c>
      <c r="AE169" s="238">
        <f t="shared" si="226"/>
        <v>0</v>
      </c>
      <c r="AF169" s="238">
        <f t="shared" si="227"/>
        <v>0</v>
      </c>
      <c r="AG169" s="255">
        <f>M169*VLOOKUP($AA169,'SKOR PPH'!$B$13:$D$21,3,FALSE)</f>
        <v>0</v>
      </c>
      <c r="AH169" s="238">
        <f>N169*VLOOKUP($AA169,'SKOR PPH'!$B$13:$D$21,3,FALSE)</f>
        <v>0</v>
      </c>
      <c r="AI169" s="238">
        <f>O169*VLOOKUP($AA169,'SKOR PPH'!$B$13:$D$21,3,FALSE)</f>
        <v>0</v>
      </c>
      <c r="AJ169" s="238">
        <f>P169*VLOOKUP($AA169,'SKOR PPH'!$B$13:$D$21,3,FALSE)</f>
        <v>0</v>
      </c>
      <c r="AK169" s="238">
        <f>$AD169*VLOOKUP($AA169,'SKOR PPH'!$B$13:$D$21,3,FALSE)</f>
        <v>0</v>
      </c>
      <c r="AL169" s="255">
        <f>R169*VLOOKUP($AA169,'SKOR PPH'!$B$13:$D$21,3,FALSE)</f>
        <v>0</v>
      </c>
      <c r="AM169" s="238">
        <f>S169*VLOOKUP($AA169,'SKOR PPH'!$B$13:$D$21,3,FALSE)</f>
        <v>0</v>
      </c>
      <c r="AN169" s="238">
        <f>T169*VLOOKUP($AA169,'SKOR PPH'!$B$13:$D$21,3,FALSE)</f>
        <v>0</v>
      </c>
      <c r="AO169" s="238">
        <f>U169*VLOOKUP($AA169,'SKOR PPH'!$B$13:$D$21,3,FALSE)</f>
        <v>0</v>
      </c>
      <c r="AP169" s="238">
        <f>$AE169*VLOOKUP($AA169,'SKOR PPH'!$B$13:$D$21,3,FALSE)</f>
        <v>0</v>
      </c>
      <c r="AQ169" s="255">
        <f>W169*VLOOKUP($AA169,'SKOR PPH'!$B$13:$D$21,3,FALSE)</f>
        <v>0</v>
      </c>
      <c r="AR169" s="238">
        <f>X169*VLOOKUP($AA169,'SKOR PPH'!$B$13:$D$21,3,FALSE)</f>
        <v>0</v>
      </c>
      <c r="AS169" s="238">
        <f>Y169*VLOOKUP($AA169,'SKOR PPH'!$B$13:$D$21,3,FALSE)</f>
        <v>0</v>
      </c>
      <c r="AT169" s="238">
        <f>Z169*VLOOKUP($AA169,'SKOR PPH'!$B$13:$D$21,3,FALSE)</f>
        <v>0</v>
      </c>
      <c r="AU169" s="238">
        <f>$AF169*VLOOKUP($AA169,'SKOR PPH'!$B$13:$D$21,3,FALSE)</f>
        <v>0</v>
      </c>
    </row>
    <row r="170" spans="2:47" ht="15" customHeight="1" x14ac:dyDescent="0.2">
      <c r="B170" s="199" t="s">
        <v>251</v>
      </c>
      <c r="C170" s="207">
        <v>1000</v>
      </c>
      <c r="D170" s="149">
        <v>128.80000000000001</v>
      </c>
      <c r="E170" s="243">
        <v>2.2999999999999998</v>
      </c>
      <c r="F170" s="149">
        <v>0.92</v>
      </c>
      <c r="G170" s="261">
        <v>31.74</v>
      </c>
      <c r="H170" s="208" t="s">
        <v>200</v>
      </c>
      <c r="I170" s="311">
        <v>9.5978782099905046E-4</v>
      </c>
      <c r="J170" s="311">
        <v>3.2175359052220513E-2</v>
      </c>
      <c r="K170" s="311">
        <v>3.3135146873219556E-2</v>
      </c>
      <c r="L170" s="144">
        <f t="shared" si="210"/>
        <v>0.13711254585700722</v>
      </c>
      <c r="M170" s="144">
        <f t="shared" si="211"/>
        <v>1.7660095906382529E-2</v>
      </c>
      <c r="N170" s="144">
        <f t="shared" si="212"/>
        <v>3.1535885547111659E-4</v>
      </c>
      <c r="O170" s="144">
        <f t="shared" si="213"/>
        <v>1.2614354218844665E-4</v>
      </c>
      <c r="P170" s="144">
        <f t="shared" si="214"/>
        <v>4.3519522055014085E-3</v>
      </c>
      <c r="Q170" s="144">
        <f t="shared" si="215"/>
        <v>4.596479864602931</v>
      </c>
      <c r="R170" s="144">
        <f t="shared" si="216"/>
        <v>0.59202660656085748</v>
      </c>
      <c r="S170" s="144">
        <f t="shared" si="217"/>
        <v>1.0571903688586739E-2</v>
      </c>
      <c r="T170" s="144">
        <f t="shared" si="218"/>
        <v>4.2287614754346961E-3</v>
      </c>
      <c r="U170" s="144">
        <f t="shared" si="219"/>
        <v>0.14589227090249701</v>
      </c>
      <c r="V170" s="338">
        <f t="shared" si="220"/>
        <v>4.7335924104599361</v>
      </c>
      <c r="W170" s="338">
        <f t="shared" si="221"/>
        <v>0.60968670246723988</v>
      </c>
      <c r="X170" s="338">
        <f t="shared" si="222"/>
        <v>1.0887262544057853E-2</v>
      </c>
      <c r="Y170" s="338">
        <f t="shared" si="223"/>
        <v>4.3549050176231417E-3</v>
      </c>
      <c r="Z170" s="338">
        <f t="shared" si="224"/>
        <v>0.15024422310799837</v>
      </c>
      <c r="AA170" s="199">
        <v>8</v>
      </c>
      <c r="AB170" s="176">
        <v>26</v>
      </c>
      <c r="AC170" s="177">
        <v>1</v>
      </c>
      <c r="AD170" s="238">
        <f t="shared" si="225"/>
        <v>0.13711254585700722</v>
      </c>
      <c r="AE170" s="238">
        <f t="shared" si="226"/>
        <v>4.596479864602931</v>
      </c>
      <c r="AF170" s="238">
        <f t="shared" si="227"/>
        <v>4.7335924104599361</v>
      </c>
      <c r="AG170" s="255">
        <f>M170*VLOOKUP($AA170,'SKOR PPH'!$B$13:$D$21,3,FALSE)</f>
        <v>2.4808902729286177E-2</v>
      </c>
      <c r="AH170" s="238">
        <f>N170*VLOOKUP($AA170,'SKOR PPH'!$B$13:$D$21,3,FALSE)</f>
        <v>4.4301612016582463E-4</v>
      </c>
      <c r="AI170" s="238">
        <f>O170*VLOOKUP($AA170,'SKOR PPH'!$B$13:$D$21,3,FALSE)</f>
        <v>1.7720644806632984E-4</v>
      </c>
      <c r="AJ170" s="238">
        <f>P170*VLOOKUP($AA170,'SKOR PPH'!$B$13:$D$21,3,FALSE)</f>
        <v>6.1136224582883786E-3</v>
      </c>
      <c r="AK170" s="238">
        <f>$AD170*VLOOKUP($AA170,'SKOR PPH'!$B$13:$D$21,3,FALSE)</f>
        <v>0.19261570441992373</v>
      </c>
      <c r="AL170" s="255">
        <f>R170*VLOOKUP($AA170,'SKOR PPH'!$B$13:$D$21,3,FALSE)</f>
        <v>0.83167897689669257</v>
      </c>
      <c r="AM170" s="238">
        <f>S170*VLOOKUP($AA170,'SKOR PPH'!$B$13:$D$21,3,FALSE)</f>
        <v>1.4851410301726651E-2</v>
      </c>
      <c r="AN170" s="238">
        <f>T170*VLOOKUP($AA170,'SKOR PPH'!$B$13:$D$21,3,FALSE)</f>
        <v>5.9405641206906612E-3</v>
      </c>
      <c r="AO170" s="238">
        <f>U170*VLOOKUP($AA170,'SKOR PPH'!$B$13:$D$21,3,FALSE)</f>
        <v>0.20494946216382781</v>
      </c>
      <c r="AP170" s="238">
        <f>$AE170*VLOOKUP($AA170,'SKOR PPH'!$B$13:$D$21,3,FALSE)</f>
        <v>6.4571349137941976</v>
      </c>
      <c r="AQ170" s="255">
        <f>W170*VLOOKUP($AA170,'SKOR PPH'!$B$13:$D$21,3,FALSE)</f>
        <v>0.85648787962597861</v>
      </c>
      <c r="AR170" s="238">
        <f>X170*VLOOKUP($AA170,'SKOR PPH'!$B$13:$D$21,3,FALSE)</f>
        <v>1.5294426421892472E-2</v>
      </c>
      <c r="AS170" s="238">
        <f>Y170*VLOOKUP($AA170,'SKOR PPH'!$B$13:$D$21,3,FALSE)</f>
        <v>6.1177705687569901E-3</v>
      </c>
      <c r="AT170" s="238">
        <f>Z170*VLOOKUP($AA170,'SKOR PPH'!$B$13:$D$21,3,FALSE)</f>
        <v>0.21106308462211612</v>
      </c>
      <c r="AU170" s="238">
        <f>$AF170*VLOOKUP($AA170,'SKOR PPH'!$B$13:$D$21,3,FALSE)</f>
        <v>6.6497506182141182</v>
      </c>
    </row>
    <row r="171" spans="2:47" ht="15" customHeight="1" x14ac:dyDescent="0.2">
      <c r="B171" s="199" t="s">
        <v>252</v>
      </c>
      <c r="C171" s="207">
        <v>1000</v>
      </c>
      <c r="D171" s="149">
        <v>128.80000000000001</v>
      </c>
      <c r="E171" s="243">
        <v>2.2999999999999998</v>
      </c>
      <c r="F171" s="149">
        <v>0.92</v>
      </c>
      <c r="G171" s="261">
        <v>31.74</v>
      </c>
      <c r="H171" s="208" t="s">
        <v>200</v>
      </c>
      <c r="I171" s="311">
        <v>0</v>
      </c>
      <c r="J171" s="311">
        <v>0</v>
      </c>
      <c r="K171" s="311">
        <v>0</v>
      </c>
      <c r="L171" s="144">
        <f t="shared" si="210"/>
        <v>0</v>
      </c>
      <c r="M171" s="144">
        <f t="shared" si="211"/>
        <v>0</v>
      </c>
      <c r="N171" s="144">
        <f t="shared" si="212"/>
        <v>0</v>
      </c>
      <c r="O171" s="144">
        <f t="shared" si="213"/>
        <v>0</v>
      </c>
      <c r="P171" s="144">
        <f t="shared" si="214"/>
        <v>0</v>
      </c>
      <c r="Q171" s="144">
        <f t="shared" si="215"/>
        <v>0</v>
      </c>
      <c r="R171" s="144">
        <f t="shared" si="216"/>
        <v>0</v>
      </c>
      <c r="S171" s="144">
        <f t="shared" si="217"/>
        <v>0</v>
      </c>
      <c r="T171" s="144">
        <f t="shared" si="218"/>
        <v>0</v>
      </c>
      <c r="U171" s="144">
        <f t="shared" si="219"/>
        <v>0</v>
      </c>
      <c r="V171" s="338">
        <f t="shared" si="220"/>
        <v>0</v>
      </c>
      <c r="W171" s="338">
        <f t="shared" si="221"/>
        <v>0</v>
      </c>
      <c r="X171" s="338">
        <f t="shared" si="222"/>
        <v>0</v>
      </c>
      <c r="Y171" s="338">
        <f t="shared" si="223"/>
        <v>0</v>
      </c>
      <c r="Z171" s="338">
        <f t="shared" si="224"/>
        <v>0</v>
      </c>
      <c r="AA171" s="199">
        <v>8</v>
      </c>
      <c r="AB171" s="176">
        <v>26</v>
      </c>
      <c r="AC171" s="177">
        <v>1</v>
      </c>
      <c r="AD171" s="238">
        <f t="shared" si="225"/>
        <v>0</v>
      </c>
      <c r="AE171" s="238">
        <f t="shared" si="226"/>
        <v>0</v>
      </c>
      <c r="AF171" s="238">
        <f t="shared" si="227"/>
        <v>0</v>
      </c>
      <c r="AG171" s="255">
        <f>M171*VLOOKUP($AA171,'SKOR PPH'!$B$13:$D$21,3,FALSE)</f>
        <v>0</v>
      </c>
      <c r="AH171" s="238">
        <f>N171*VLOOKUP($AA171,'SKOR PPH'!$B$13:$D$21,3,FALSE)</f>
        <v>0</v>
      </c>
      <c r="AI171" s="238">
        <f>O171*VLOOKUP($AA171,'SKOR PPH'!$B$13:$D$21,3,FALSE)</f>
        <v>0</v>
      </c>
      <c r="AJ171" s="238">
        <f>P171*VLOOKUP($AA171,'SKOR PPH'!$B$13:$D$21,3,FALSE)</f>
        <v>0</v>
      </c>
      <c r="AK171" s="238">
        <f>$AD171*VLOOKUP($AA171,'SKOR PPH'!$B$13:$D$21,3,FALSE)</f>
        <v>0</v>
      </c>
      <c r="AL171" s="255">
        <f>R171*VLOOKUP($AA171,'SKOR PPH'!$B$13:$D$21,3,FALSE)</f>
        <v>0</v>
      </c>
      <c r="AM171" s="238">
        <f>S171*VLOOKUP($AA171,'SKOR PPH'!$B$13:$D$21,3,FALSE)</f>
        <v>0</v>
      </c>
      <c r="AN171" s="238">
        <f>T171*VLOOKUP($AA171,'SKOR PPH'!$B$13:$D$21,3,FALSE)</f>
        <v>0</v>
      </c>
      <c r="AO171" s="238">
        <f>U171*VLOOKUP($AA171,'SKOR PPH'!$B$13:$D$21,3,FALSE)</f>
        <v>0</v>
      </c>
      <c r="AP171" s="238">
        <f>$AE171*VLOOKUP($AA171,'SKOR PPH'!$B$13:$D$21,3,FALSE)</f>
        <v>0</v>
      </c>
      <c r="AQ171" s="255">
        <f>W171*VLOOKUP($AA171,'SKOR PPH'!$B$13:$D$21,3,FALSE)</f>
        <v>0</v>
      </c>
      <c r="AR171" s="238">
        <f>X171*VLOOKUP($AA171,'SKOR PPH'!$B$13:$D$21,3,FALSE)</f>
        <v>0</v>
      </c>
      <c r="AS171" s="238">
        <f>Y171*VLOOKUP($AA171,'SKOR PPH'!$B$13:$D$21,3,FALSE)</f>
        <v>0</v>
      </c>
      <c r="AT171" s="238">
        <f>Z171*VLOOKUP($AA171,'SKOR PPH'!$B$13:$D$21,3,FALSE)</f>
        <v>0</v>
      </c>
      <c r="AU171" s="238">
        <f>$AF171*VLOOKUP($AA171,'SKOR PPH'!$B$13:$D$21,3,FALSE)</f>
        <v>0</v>
      </c>
    </row>
    <row r="172" spans="2:47" ht="15" customHeight="1" x14ac:dyDescent="0.2">
      <c r="B172" s="199" t="s">
        <v>253</v>
      </c>
      <c r="C172" s="207">
        <v>1000</v>
      </c>
      <c r="D172" s="149">
        <v>296.8</v>
      </c>
      <c r="E172" s="243">
        <v>3.36</v>
      </c>
      <c r="F172" s="149">
        <v>0.84</v>
      </c>
      <c r="G172" s="261">
        <v>77.28</v>
      </c>
      <c r="H172" s="208" t="s">
        <v>200</v>
      </c>
      <c r="I172" s="311">
        <v>0</v>
      </c>
      <c r="J172" s="311">
        <v>0</v>
      </c>
      <c r="K172" s="311">
        <v>0</v>
      </c>
      <c r="L172" s="144">
        <f t="shared" si="210"/>
        <v>0</v>
      </c>
      <c r="M172" s="144">
        <f t="shared" si="211"/>
        <v>0</v>
      </c>
      <c r="N172" s="144">
        <f t="shared" si="212"/>
        <v>0</v>
      </c>
      <c r="O172" s="144">
        <f t="shared" si="213"/>
        <v>0</v>
      </c>
      <c r="P172" s="144">
        <f t="shared" si="214"/>
        <v>0</v>
      </c>
      <c r="Q172" s="144">
        <f t="shared" si="215"/>
        <v>0</v>
      </c>
      <c r="R172" s="144">
        <f t="shared" si="216"/>
        <v>0</v>
      </c>
      <c r="S172" s="144">
        <f t="shared" si="217"/>
        <v>0</v>
      </c>
      <c r="T172" s="144">
        <f t="shared" si="218"/>
        <v>0</v>
      </c>
      <c r="U172" s="144">
        <f t="shared" si="219"/>
        <v>0</v>
      </c>
      <c r="V172" s="338">
        <f t="shared" si="220"/>
        <v>0</v>
      </c>
      <c r="W172" s="338">
        <f t="shared" si="221"/>
        <v>0</v>
      </c>
      <c r="X172" s="338">
        <f t="shared" si="222"/>
        <v>0</v>
      </c>
      <c r="Y172" s="338">
        <f t="shared" si="223"/>
        <v>0</v>
      </c>
      <c r="Z172" s="338">
        <f t="shared" si="224"/>
        <v>0</v>
      </c>
      <c r="AA172" s="199">
        <v>8</v>
      </c>
      <c r="AB172" s="176">
        <v>26</v>
      </c>
      <c r="AC172" s="177">
        <v>1</v>
      </c>
      <c r="AD172" s="238">
        <f t="shared" si="225"/>
        <v>0</v>
      </c>
      <c r="AE172" s="238">
        <f t="shared" si="226"/>
        <v>0</v>
      </c>
      <c r="AF172" s="238">
        <f t="shared" si="227"/>
        <v>0</v>
      </c>
      <c r="AG172" s="255">
        <f>M172*VLOOKUP($AA172,'SKOR PPH'!$B$13:$D$21,3,FALSE)</f>
        <v>0</v>
      </c>
      <c r="AH172" s="238">
        <f>N172*VLOOKUP($AA172,'SKOR PPH'!$B$13:$D$21,3,FALSE)</f>
        <v>0</v>
      </c>
      <c r="AI172" s="238">
        <f>O172*VLOOKUP($AA172,'SKOR PPH'!$B$13:$D$21,3,FALSE)</f>
        <v>0</v>
      </c>
      <c r="AJ172" s="238">
        <f>P172*VLOOKUP($AA172,'SKOR PPH'!$B$13:$D$21,3,FALSE)</f>
        <v>0</v>
      </c>
      <c r="AK172" s="238">
        <f>$AD172*VLOOKUP($AA172,'SKOR PPH'!$B$13:$D$21,3,FALSE)</f>
        <v>0</v>
      </c>
      <c r="AL172" s="255">
        <f>R172*VLOOKUP($AA172,'SKOR PPH'!$B$13:$D$21,3,FALSE)</f>
        <v>0</v>
      </c>
      <c r="AM172" s="238">
        <f>S172*VLOOKUP($AA172,'SKOR PPH'!$B$13:$D$21,3,FALSE)</f>
        <v>0</v>
      </c>
      <c r="AN172" s="238">
        <f>T172*VLOOKUP($AA172,'SKOR PPH'!$B$13:$D$21,3,FALSE)</f>
        <v>0</v>
      </c>
      <c r="AO172" s="238">
        <f>U172*VLOOKUP($AA172,'SKOR PPH'!$B$13:$D$21,3,FALSE)</f>
        <v>0</v>
      </c>
      <c r="AP172" s="238">
        <f>$AE172*VLOOKUP($AA172,'SKOR PPH'!$B$13:$D$21,3,FALSE)</f>
        <v>0</v>
      </c>
      <c r="AQ172" s="255">
        <f>W172*VLOOKUP($AA172,'SKOR PPH'!$B$13:$D$21,3,FALSE)</f>
        <v>0</v>
      </c>
      <c r="AR172" s="238">
        <f>X172*VLOOKUP($AA172,'SKOR PPH'!$B$13:$D$21,3,FALSE)</f>
        <v>0</v>
      </c>
      <c r="AS172" s="238">
        <f>Y172*VLOOKUP($AA172,'SKOR PPH'!$B$13:$D$21,3,FALSE)</f>
        <v>0</v>
      </c>
      <c r="AT172" s="238">
        <f>Z172*VLOOKUP($AA172,'SKOR PPH'!$B$13:$D$21,3,FALSE)</f>
        <v>0</v>
      </c>
      <c r="AU172" s="238">
        <f>$AF172*VLOOKUP($AA172,'SKOR PPH'!$B$13:$D$21,3,FALSE)</f>
        <v>0</v>
      </c>
    </row>
    <row r="173" spans="2:47" ht="15" customHeight="1" x14ac:dyDescent="0.2">
      <c r="B173" s="199" t="s">
        <v>254</v>
      </c>
      <c r="C173" s="207">
        <v>1000</v>
      </c>
      <c r="D173" s="149">
        <v>240</v>
      </c>
      <c r="E173" s="243">
        <v>13</v>
      </c>
      <c r="F173" s="149">
        <v>5</v>
      </c>
      <c r="G173" s="261">
        <v>47</v>
      </c>
      <c r="H173" s="208" t="s">
        <v>200</v>
      </c>
      <c r="I173" s="311">
        <v>0</v>
      </c>
      <c r="J173" s="311">
        <v>0</v>
      </c>
      <c r="K173" s="311">
        <v>0</v>
      </c>
      <c r="L173" s="144">
        <f t="shared" si="210"/>
        <v>0</v>
      </c>
      <c r="M173" s="144">
        <f t="shared" si="211"/>
        <v>0</v>
      </c>
      <c r="N173" s="144">
        <f t="shared" si="212"/>
        <v>0</v>
      </c>
      <c r="O173" s="144">
        <f t="shared" si="213"/>
        <v>0</v>
      </c>
      <c r="P173" s="144">
        <f t="shared" si="214"/>
        <v>0</v>
      </c>
      <c r="Q173" s="144">
        <f t="shared" si="215"/>
        <v>0</v>
      </c>
      <c r="R173" s="144">
        <f t="shared" si="216"/>
        <v>0</v>
      </c>
      <c r="S173" s="144">
        <f t="shared" si="217"/>
        <v>0</v>
      </c>
      <c r="T173" s="144">
        <f t="shared" si="218"/>
        <v>0</v>
      </c>
      <c r="U173" s="144">
        <f t="shared" si="219"/>
        <v>0</v>
      </c>
      <c r="V173" s="338">
        <f t="shared" si="220"/>
        <v>0</v>
      </c>
      <c r="W173" s="338">
        <f t="shared" si="221"/>
        <v>0</v>
      </c>
      <c r="X173" s="338">
        <f t="shared" si="222"/>
        <v>0</v>
      </c>
      <c r="Y173" s="338">
        <f t="shared" si="223"/>
        <v>0</v>
      </c>
      <c r="Z173" s="338">
        <f t="shared" si="224"/>
        <v>0</v>
      </c>
      <c r="AA173" s="199">
        <v>8</v>
      </c>
      <c r="AB173" s="176">
        <v>26</v>
      </c>
      <c r="AC173" s="177">
        <v>1</v>
      </c>
      <c r="AD173" s="238">
        <f t="shared" si="225"/>
        <v>0</v>
      </c>
      <c r="AE173" s="238">
        <f t="shared" si="226"/>
        <v>0</v>
      </c>
      <c r="AF173" s="238">
        <f t="shared" si="227"/>
        <v>0</v>
      </c>
      <c r="AG173" s="255">
        <f>M173*VLOOKUP($AA173,'SKOR PPH'!$B$13:$D$21,3,FALSE)</f>
        <v>0</v>
      </c>
      <c r="AH173" s="238">
        <f>N173*VLOOKUP($AA173,'SKOR PPH'!$B$13:$D$21,3,FALSE)</f>
        <v>0</v>
      </c>
      <c r="AI173" s="238">
        <f>O173*VLOOKUP($AA173,'SKOR PPH'!$B$13:$D$21,3,FALSE)</f>
        <v>0</v>
      </c>
      <c r="AJ173" s="238">
        <f>P173*VLOOKUP($AA173,'SKOR PPH'!$B$13:$D$21,3,FALSE)</f>
        <v>0</v>
      </c>
      <c r="AK173" s="238">
        <f>$AD173*VLOOKUP($AA173,'SKOR PPH'!$B$13:$D$21,3,FALSE)</f>
        <v>0</v>
      </c>
      <c r="AL173" s="255">
        <f>R173*VLOOKUP($AA173,'SKOR PPH'!$B$13:$D$21,3,FALSE)</f>
        <v>0</v>
      </c>
      <c r="AM173" s="238">
        <f>S173*VLOOKUP($AA173,'SKOR PPH'!$B$13:$D$21,3,FALSE)</f>
        <v>0</v>
      </c>
      <c r="AN173" s="238">
        <f>T173*VLOOKUP($AA173,'SKOR PPH'!$B$13:$D$21,3,FALSE)</f>
        <v>0</v>
      </c>
      <c r="AO173" s="238">
        <f>U173*VLOOKUP($AA173,'SKOR PPH'!$B$13:$D$21,3,FALSE)</f>
        <v>0</v>
      </c>
      <c r="AP173" s="238">
        <f>$AE173*VLOOKUP($AA173,'SKOR PPH'!$B$13:$D$21,3,FALSE)</f>
        <v>0</v>
      </c>
      <c r="AQ173" s="255">
        <f>W173*VLOOKUP($AA173,'SKOR PPH'!$B$13:$D$21,3,FALSE)</f>
        <v>0</v>
      </c>
      <c r="AR173" s="238">
        <f>X173*VLOOKUP($AA173,'SKOR PPH'!$B$13:$D$21,3,FALSE)</f>
        <v>0</v>
      </c>
      <c r="AS173" s="238">
        <f>Y173*VLOOKUP($AA173,'SKOR PPH'!$B$13:$D$21,3,FALSE)</f>
        <v>0</v>
      </c>
      <c r="AT173" s="238">
        <f>Z173*VLOOKUP($AA173,'SKOR PPH'!$B$13:$D$21,3,FALSE)</f>
        <v>0</v>
      </c>
      <c r="AU173" s="238">
        <f>$AF173*VLOOKUP($AA173,'SKOR PPH'!$B$13:$D$21,3,FALSE)</f>
        <v>0</v>
      </c>
    </row>
    <row r="174" spans="2:47" ht="15" customHeight="1" x14ac:dyDescent="0.2">
      <c r="B174" s="199" t="s">
        <v>255</v>
      </c>
      <c r="C174" s="207">
        <v>1000</v>
      </c>
      <c r="D174" s="149">
        <v>450</v>
      </c>
      <c r="E174" s="243">
        <v>5.6</v>
      </c>
      <c r="F174" s="149">
        <v>3.5</v>
      </c>
      <c r="G174" s="261">
        <v>114</v>
      </c>
      <c r="H174" s="208" t="s">
        <v>200</v>
      </c>
      <c r="I174" s="311">
        <v>0</v>
      </c>
      <c r="J174" s="311">
        <v>0</v>
      </c>
      <c r="K174" s="311">
        <v>0</v>
      </c>
      <c r="L174" s="144">
        <f t="shared" si="210"/>
        <v>0</v>
      </c>
      <c r="M174" s="144">
        <f t="shared" si="211"/>
        <v>0</v>
      </c>
      <c r="N174" s="144">
        <f t="shared" si="212"/>
        <v>0</v>
      </c>
      <c r="O174" s="144">
        <f t="shared" si="213"/>
        <v>0</v>
      </c>
      <c r="P174" s="144">
        <f t="shared" si="214"/>
        <v>0</v>
      </c>
      <c r="Q174" s="144">
        <f t="shared" si="215"/>
        <v>0</v>
      </c>
      <c r="R174" s="144">
        <f t="shared" si="216"/>
        <v>0</v>
      </c>
      <c r="S174" s="144">
        <f t="shared" si="217"/>
        <v>0</v>
      </c>
      <c r="T174" s="144">
        <f t="shared" si="218"/>
        <v>0</v>
      </c>
      <c r="U174" s="144">
        <f t="shared" si="219"/>
        <v>0</v>
      </c>
      <c r="V174" s="338">
        <f t="shared" si="220"/>
        <v>0</v>
      </c>
      <c r="W174" s="338">
        <f t="shared" si="221"/>
        <v>0</v>
      </c>
      <c r="X174" s="338">
        <f t="shared" si="222"/>
        <v>0</v>
      </c>
      <c r="Y174" s="338">
        <f t="shared" si="223"/>
        <v>0</v>
      </c>
      <c r="Z174" s="338">
        <f t="shared" si="224"/>
        <v>0</v>
      </c>
      <c r="AA174" s="199">
        <v>8</v>
      </c>
      <c r="AB174" s="176">
        <v>26</v>
      </c>
      <c r="AC174" s="177">
        <v>1</v>
      </c>
      <c r="AD174" s="238">
        <f t="shared" si="225"/>
        <v>0</v>
      </c>
      <c r="AE174" s="238">
        <f t="shared" si="226"/>
        <v>0</v>
      </c>
      <c r="AF174" s="238">
        <f t="shared" si="227"/>
        <v>0</v>
      </c>
      <c r="AG174" s="255">
        <f>M174*VLOOKUP($AA174,'SKOR PPH'!$B$13:$D$21,3,FALSE)</f>
        <v>0</v>
      </c>
      <c r="AH174" s="238">
        <f>N174*VLOOKUP($AA174,'SKOR PPH'!$B$13:$D$21,3,FALSE)</f>
        <v>0</v>
      </c>
      <c r="AI174" s="238">
        <f>O174*VLOOKUP($AA174,'SKOR PPH'!$B$13:$D$21,3,FALSE)</f>
        <v>0</v>
      </c>
      <c r="AJ174" s="238">
        <f>P174*VLOOKUP($AA174,'SKOR PPH'!$B$13:$D$21,3,FALSE)</f>
        <v>0</v>
      </c>
      <c r="AK174" s="238">
        <f>$AD174*VLOOKUP($AA174,'SKOR PPH'!$B$13:$D$21,3,FALSE)</f>
        <v>0</v>
      </c>
      <c r="AL174" s="255">
        <f>R174*VLOOKUP($AA174,'SKOR PPH'!$B$13:$D$21,3,FALSE)</f>
        <v>0</v>
      </c>
      <c r="AM174" s="238">
        <f>S174*VLOOKUP($AA174,'SKOR PPH'!$B$13:$D$21,3,FALSE)</f>
        <v>0</v>
      </c>
      <c r="AN174" s="238">
        <f>T174*VLOOKUP($AA174,'SKOR PPH'!$B$13:$D$21,3,FALSE)</f>
        <v>0</v>
      </c>
      <c r="AO174" s="238">
        <f>U174*VLOOKUP($AA174,'SKOR PPH'!$B$13:$D$21,3,FALSE)</f>
        <v>0</v>
      </c>
      <c r="AP174" s="238">
        <f>$AE174*VLOOKUP($AA174,'SKOR PPH'!$B$13:$D$21,3,FALSE)</f>
        <v>0</v>
      </c>
      <c r="AQ174" s="255">
        <f>W174*VLOOKUP($AA174,'SKOR PPH'!$B$13:$D$21,3,FALSE)</f>
        <v>0</v>
      </c>
      <c r="AR174" s="238">
        <f>X174*VLOOKUP($AA174,'SKOR PPH'!$B$13:$D$21,3,FALSE)</f>
        <v>0</v>
      </c>
      <c r="AS174" s="238">
        <f>Y174*VLOOKUP($AA174,'SKOR PPH'!$B$13:$D$21,3,FALSE)</f>
        <v>0</v>
      </c>
      <c r="AT174" s="238">
        <f>Z174*VLOOKUP($AA174,'SKOR PPH'!$B$13:$D$21,3,FALSE)</f>
        <v>0</v>
      </c>
      <c r="AU174" s="238">
        <f>$AF174*VLOOKUP($AA174,'SKOR PPH'!$B$13:$D$21,3,FALSE)</f>
        <v>0</v>
      </c>
    </row>
    <row r="175" spans="2:47" ht="15" customHeight="1" x14ac:dyDescent="0.2">
      <c r="B175" s="199" t="s">
        <v>33</v>
      </c>
      <c r="C175" s="207">
        <v>1000</v>
      </c>
      <c r="D175" s="149">
        <v>587</v>
      </c>
      <c r="E175" s="243">
        <v>10</v>
      </c>
      <c r="F175" s="149">
        <v>17.97</v>
      </c>
      <c r="G175" s="261">
        <v>125.88</v>
      </c>
      <c r="H175" s="208" t="s">
        <v>200</v>
      </c>
      <c r="I175" s="311">
        <v>0</v>
      </c>
      <c r="J175" s="311">
        <v>0</v>
      </c>
      <c r="K175" s="311">
        <v>0</v>
      </c>
      <c r="L175" s="144">
        <f t="shared" si="210"/>
        <v>0</v>
      </c>
      <c r="M175" s="144">
        <f t="shared" si="211"/>
        <v>0</v>
      </c>
      <c r="N175" s="144">
        <f t="shared" si="212"/>
        <v>0</v>
      </c>
      <c r="O175" s="144">
        <f t="shared" si="213"/>
        <v>0</v>
      </c>
      <c r="P175" s="144">
        <f t="shared" si="214"/>
        <v>0</v>
      </c>
      <c r="Q175" s="144">
        <f t="shared" si="215"/>
        <v>0</v>
      </c>
      <c r="R175" s="144">
        <f t="shared" si="216"/>
        <v>0</v>
      </c>
      <c r="S175" s="144">
        <f t="shared" si="217"/>
        <v>0</v>
      </c>
      <c r="T175" s="144">
        <f t="shared" si="218"/>
        <v>0</v>
      </c>
      <c r="U175" s="144">
        <f t="shared" si="219"/>
        <v>0</v>
      </c>
      <c r="V175" s="338">
        <f t="shared" si="220"/>
        <v>0</v>
      </c>
      <c r="W175" s="338">
        <f t="shared" si="221"/>
        <v>0</v>
      </c>
      <c r="X175" s="338">
        <f t="shared" si="222"/>
        <v>0</v>
      </c>
      <c r="Y175" s="338">
        <f t="shared" si="223"/>
        <v>0</v>
      </c>
      <c r="Z175" s="338">
        <f t="shared" si="224"/>
        <v>0</v>
      </c>
      <c r="AA175" s="199">
        <v>8</v>
      </c>
      <c r="AB175" s="176">
        <v>26</v>
      </c>
      <c r="AC175" s="177">
        <v>1</v>
      </c>
      <c r="AD175" s="238">
        <f t="shared" si="225"/>
        <v>0</v>
      </c>
      <c r="AE175" s="238">
        <f t="shared" si="226"/>
        <v>0</v>
      </c>
      <c r="AF175" s="238">
        <f t="shared" si="227"/>
        <v>0</v>
      </c>
      <c r="AG175" s="255">
        <f>M175*VLOOKUP($AA175,'SKOR PPH'!$B$13:$D$21,3,FALSE)</f>
        <v>0</v>
      </c>
      <c r="AH175" s="238">
        <f>N175*VLOOKUP($AA175,'SKOR PPH'!$B$13:$D$21,3,FALSE)</f>
        <v>0</v>
      </c>
      <c r="AI175" s="238">
        <f>O175*VLOOKUP($AA175,'SKOR PPH'!$B$13:$D$21,3,FALSE)</f>
        <v>0</v>
      </c>
      <c r="AJ175" s="238">
        <f>P175*VLOOKUP($AA175,'SKOR PPH'!$B$13:$D$21,3,FALSE)</f>
        <v>0</v>
      </c>
      <c r="AK175" s="238">
        <f>$AD175*VLOOKUP($AA175,'SKOR PPH'!$B$13:$D$21,3,FALSE)</f>
        <v>0</v>
      </c>
      <c r="AL175" s="255">
        <f>R175*VLOOKUP($AA175,'SKOR PPH'!$B$13:$D$21,3,FALSE)</f>
        <v>0</v>
      </c>
      <c r="AM175" s="238">
        <f>S175*VLOOKUP($AA175,'SKOR PPH'!$B$13:$D$21,3,FALSE)</f>
        <v>0</v>
      </c>
      <c r="AN175" s="238">
        <f>T175*VLOOKUP($AA175,'SKOR PPH'!$B$13:$D$21,3,FALSE)</f>
        <v>0</v>
      </c>
      <c r="AO175" s="238">
        <f>U175*VLOOKUP($AA175,'SKOR PPH'!$B$13:$D$21,3,FALSE)</f>
        <v>0</v>
      </c>
      <c r="AP175" s="238">
        <f>$AE175*VLOOKUP($AA175,'SKOR PPH'!$B$13:$D$21,3,FALSE)</f>
        <v>0</v>
      </c>
      <c r="AQ175" s="255">
        <f>W175*VLOOKUP($AA175,'SKOR PPH'!$B$13:$D$21,3,FALSE)</f>
        <v>0</v>
      </c>
      <c r="AR175" s="238">
        <f>X175*VLOOKUP($AA175,'SKOR PPH'!$B$13:$D$21,3,FALSE)</f>
        <v>0</v>
      </c>
      <c r="AS175" s="238">
        <f>Y175*VLOOKUP($AA175,'SKOR PPH'!$B$13:$D$21,3,FALSE)</f>
        <v>0</v>
      </c>
      <c r="AT175" s="238">
        <f>Z175*VLOOKUP($AA175,'SKOR PPH'!$B$13:$D$21,3,FALSE)</f>
        <v>0</v>
      </c>
      <c r="AU175" s="238">
        <f>$AF175*VLOOKUP($AA175,'SKOR PPH'!$B$13:$D$21,3,FALSE)</f>
        <v>0</v>
      </c>
    </row>
    <row r="176" spans="2:47" ht="15" customHeight="1" x14ac:dyDescent="0.2">
      <c r="B176" s="211"/>
      <c r="C176" s="187"/>
      <c r="D176" s="188"/>
      <c r="E176" s="248"/>
      <c r="F176" s="188"/>
      <c r="G176" s="188"/>
      <c r="H176" s="267"/>
      <c r="I176" s="314"/>
      <c r="J176" s="314"/>
      <c r="K176" s="314"/>
      <c r="L176" s="127"/>
      <c r="M176" s="182"/>
      <c r="N176" s="127"/>
      <c r="O176" s="189"/>
      <c r="P176" s="189"/>
      <c r="Q176" s="127"/>
      <c r="R176" s="182"/>
      <c r="S176" s="127"/>
      <c r="T176" s="189"/>
      <c r="U176" s="189"/>
      <c r="V176" s="127"/>
      <c r="W176" s="182"/>
      <c r="X176" s="127"/>
      <c r="Y176" s="189"/>
      <c r="Z176" s="189"/>
      <c r="AA176" s="190"/>
      <c r="AB176" s="190"/>
      <c r="AC176" s="191"/>
      <c r="AD176" s="236"/>
      <c r="AE176" s="236"/>
      <c r="AF176" s="236"/>
      <c r="AG176" s="236"/>
      <c r="AH176" s="236"/>
      <c r="AI176" s="236"/>
      <c r="AJ176" s="236"/>
      <c r="AK176" s="236"/>
      <c r="AL176" s="236"/>
      <c r="AM176" s="236"/>
      <c r="AN176" s="236"/>
      <c r="AO176" s="236"/>
      <c r="AP176" s="236"/>
      <c r="AQ176" s="236"/>
      <c r="AR176" s="236"/>
      <c r="AS176" s="236"/>
      <c r="AT176" s="236"/>
      <c r="AU176" s="236"/>
    </row>
    <row r="177" spans="2:48" ht="15" customHeight="1" x14ac:dyDescent="0.2">
      <c r="B177" s="186" t="s">
        <v>92</v>
      </c>
      <c r="C177" s="187"/>
      <c r="D177" s="241"/>
      <c r="E177" s="250"/>
      <c r="F177" s="241"/>
      <c r="G177" s="188"/>
      <c r="H177" s="267"/>
      <c r="I177" s="314"/>
      <c r="J177" s="314"/>
      <c r="K177" s="314"/>
      <c r="L177" s="170"/>
      <c r="M177" s="170"/>
      <c r="N177" s="170"/>
      <c r="O177" s="171"/>
      <c r="P177" s="171"/>
      <c r="Q177" s="170"/>
      <c r="R177" s="170"/>
      <c r="S177" s="170"/>
      <c r="T177" s="171"/>
      <c r="U177" s="171"/>
      <c r="V177" s="170"/>
      <c r="W177" s="170"/>
      <c r="X177" s="170"/>
      <c r="Y177" s="171"/>
      <c r="Z177" s="171"/>
      <c r="AA177" s="190"/>
      <c r="AB177" s="190"/>
      <c r="AC177" s="191"/>
      <c r="AD177" s="236"/>
      <c r="AE177" s="236"/>
      <c r="AF177" s="236"/>
      <c r="AG177" s="236"/>
      <c r="AH177" s="236"/>
      <c r="AI177" s="236"/>
      <c r="AJ177" s="236"/>
      <c r="AK177" s="236"/>
      <c r="AL177" s="236"/>
      <c r="AM177" s="236"/>
      <c r="AN177" s="236"/>
      <c r="AO177" s="236"/>
      <c r="AP177" s="236"/>
      <c r="AQ177" s="236"/>
      <c r="AR177" s="236"/>
      <c r="AS177" s="236"/>
      <c r="AT177" s="236"/>
      <c r="AU177" s="236"/>
    </row>
    <row r="178" spans="2:48" ht="15" customHeight="1" x14ac:dyDescent="0.2">
      <c r="B178" s="199" t="s">
        <v>256</v>
      </c>
      <c r="C178" s="212">
        <v>800</v>
      </c>
      <c r="D178" s="149">
        <v>6960</v>
      </c>
      <c r="E178" s="243">
        <v>8</v>
      </c>
      <c r="F178" s="149">
        <v>784</v>
      </c>
      <c r="G178" s="261">
        <v>0</v>
      </c>
      <c r="H178" s="208" t="s">
        <v>61</v>
      </c>
      <c r="I178" s="311">
        <v>2.2777635595099837E-4</v>
      </c>
      <c r="J178" s="311">
        <v>1.5144426625434914E-3</v>
      </c>
      <c r="K178" s="311">
        <v>1.7422190184944899E-3</v>
      </c>
      <c r="L178" s="144">
        <f t="shared" ref="L178:L183" si="228">$I178*C178/7</f>
        <v>2.6031583537256958E-2</v>
      </c>
      <c r="M178" s="144">
        <f t="shared" ref="M178:M183" si="229">$I178*D178/7</f>
        <v>0.22647477677413552</v>
      </c>
      <c r="N178" s="144">
        <f t="shared" ref="N178:N183" si="230">$I178*E178/7</f>
        <v>2.6031583537256957E-4</v>
      </c>
      <c r="O178" s="144">
        <f t="shared" ref="O178:O183" si="231">$I178*F178/7</f>
        <v>2.5510951866511818E-2</v>
      </c>
      <c r="P178" s="144">
        <f t="shared" ref="P178:P183" si="232">$I178*G178/7</f>
        <v>0</v>
      </c>
      <c r="Q178" s="144">
        <f t="shared" ref="Q178:Q183" si="233">$J178*C178/7</f>
        <v>0.17307916143354188</v>
      </c>
      <c r="R178" s="144">
        <f t="shared" ref="R178:R183" si="234">$J178*D178/7</f>
        <v>1.5057887044718143</v>
      </c>
      <c r="S178" s="144">
        <f t="shared" ref="S178:S183" si="235">$J178*E178/7</f>
        <v>1.7307916143354187E-3</v>
      </c>
      <c r="T178" s="144">
        <f t="shared" ref="T178:T183" si="236">$J178*F178/7</f>
        <v>0.16961757820487103</v>
      </c>
      <c r="U178" s="144">
        <f t="shared" ref="U178:U183" si="237">$J178*G178/7</f>
        <v>0</v>
      </c>
      <c r="V178" s="338">
        <f t="shared" ref="V178:V183" si="238">$K178*C178/7</f>
        <v>0.19911074497079886</v>
      </c>
      <c r="W178" s="338">
        <f t="shared" ref="W178:W183" si="239">$K178*D178/7</f>
        <v>1.7322634812459499</v>
      </c>
      <c r="X178" s="338">
        <f t="shared" ref="X178:X183" si="240">$K178*E178/7</f>
        <v>1.9911074497079885E-3</v>
      </c>
      <c r="Y178" s="338">
        <f t="shared" ref="Y178:Y183" si="241">$K178*F178/7</f>
        <v>0.19512853007138289</v>
      </c>
      <c r="Z178" s="338">
        <f t="shared" ref="Z178:Z183" si="242">$K178*G178/7</f>
        <v>0</v>
      </c>
      <c r="AA178" s="199">
        <v>4</v>
      </c>
      <c r="AB178" s="176">
        <v>14</v>
      </c>
      <c r="AC178" s="177">
        <v>1</v>
      </c>
      <c r="AD178" s="238">
        <f t="shared" ref="AD178:AD183" si="243">$L178*$AC178</f>
        <v>2.6031583537256958E-2</v>
      </c>
      <c r="AE178" s="238">
        <f t="shared" ref="AE178:AE183" si="244">$Q178*$AC178</f>
        <v>0.17307916143354188</v>
      </c>
      <c r="AF178" s="238">
        <f t="shared" ref="AF178:AF183" si="245">$V178*$AC178</f>
        <v>0.19911074497079886</v>
      </c>
      <c r="AG178" s="238">
        <f>M178*VLOOKUP($AA178,'SKOR PPH'!$B$13:$D$21,3,FALSE)</f>
        <v>0.25516913099141852</v>
      </c>
      <c r="AH178" s="238">
        <f>N178*VLOOKUP($AA178,'SKOR PPH'!$B$13:$D$21,3,FALSE)</f>
        <v>2.9329785171427412E-4</v>
      </c>
      <c r="AI178" s="238">
        <f>O178*VLOOKUP($AA178,'SKOR PPH'!$B$13:$D$21,3,FALSE)</f>
        <v>2.8743189467998864E-2</v>
      </c>
      <c r="AJ178" s="238">
        <f>P178*VLOOKUP($AA178,'SKOR PPH'!$B$13:$D$21,3,FALSE)</f>
        <v>0</v>
      </c>
      <c r="AK178" s="238">
        <f>$AD178*VLOOKUP($AA178,'SKOR PPH'!$B$13:$D$21,3,FALSE)</f>
        <v>2.9329785171427415E-2</v>
      </c>
      <c r="AL178" s="238">
        <f>R178*VLOOKUP($AA178,'SKOR PPH'!$B$13:$D$21,3,FALSE)</f>
        <v>1.6965721333283932</v>
      </c>
      <c r="AM178" s="238">
        <f>S178*VLOOKUP($AA178,'SKOR PPH'!$B$13:$D$21,3,FALSE)</f>
        <v>1.9500829118717163E-3</v>
      </c>
      <c r="AN178" s="238">
        <f>T178*VLOOKUP($AA178,'SKOR PPH'!$B$13:$D$21,3,FALSE)</f>
        <v>0.19110812536342819</v>
      </c>
      <c r="AO178" s="238">
        <f>U178*VLOOKUP($AA178,'SKOR PPH'!$B$13:$D$21,3,FALSE)</f>
        <v>0</v>
      </c>
      <c r="AP178" s="238">
        <f>$AE178*VLOOKUP($AA178,'SKOR PPH'!$B$13:$D$21,3,FALSE)</f>
        <v>0.19500829118717164</v>
      </c>
      <c r="AQ178" s="238">
        <f>W178*VLOOKUP($AA178,'SKOR PPH'!$B$13:$D$21,3,FALSE)</f>
        <v>1.9517412643198118</v>
      </c>
      <c r="AR178" s="238">
        <f>X178*VLOOKUP($AA178,'SKOR PPH'!$B$13:$D$21,3,FALSE)</f>
        <v>2.2433807635859906E-3</v>
      </c>
      <c r="AS178" s="238">
        <f>Y178*VLOOKUP($AA178,'SKOR PPH'!$B$13:$D$21,3,FALSE)</f>
        <v>0.21985131483142711</v>
      </c>
      <c r="AT178" s="238">
        <f>Z178*VLOOKUP($AA178,'SKOR PPH'!$B$13:$D$21,3,FALSE)</f>
        <v>0</v>
      </c>
      <c r="AU178" s="238">
        <f>$AF178*VLOOKUP($AA178,'SKOR PPH'!$B$13:$D$21,3,FALSE)</f>
        <v>0.22433807635859909</v>
      </c>
    </row>
    <row r="179" spans="2:48" ht="15" customHeight="1" x14ac:dyDescent="0.2">
      <c r="B179" s="199" t="s">
        <v>382</v>
      </c>
      <c r="C179" s="212">
        <v>800</v>
      </c>
      <c r="D179" s="252">
        <v>6204</v>
      </c>
      <c r="E179" s="253">
        <v>19.52</v>
      </c>
      <c r="F179" s="149">
        <v>372</v>
      </c>
      <c r="G179" s="261">
        <v>0</v>
      </c>
      <c r="H179" s="208" t="s">
        <v>61</v>
      </c>
      <c r="I179" s="311">
        <v>0</v>
      </c>
      <c r="J179" s="311">
        <v>0</v>
      </c>
      <c r="K179" s="311">
        <v>0</v>
      </c>
      <c r="L179" s="144">
        <f t="shared" si="228"/>
        <v>0</v>
      </c>
      <c r="M179" s="144">
        <f t="shared" si="229"/>
        <v>0</v>
      </c>
      <c r="N179" s="144">
        <f t="shared" si="230"/>
        <v>0</v>
      </c>
      <c r="O179" s="144">
        <f t="shared" si="231"/>
        <v>0</v>
      </c>
      <c r="P179" s="144">
        <f t="shared" si="232"/>
        <v>0</v>
      </c>
      <c r="Q179" s="144">
        <f t="shared" si="233"/>
        <v>0</v>
      </c>
      <c r="R179" s="144">
        <f t="shared" si="234"/>
        <v>0</v>
      </c>
      <c r="S179" s="144">
        <f t="shared" si="235"/>
        <v>0</v>
      </c>
      <c r="T179" s="144">
        <f t="shared" si="236"/>
        <v>0</v>
      </c>
      <c r="U179" s="144">
        <f t="shared" si="237"/>
        <v>0</v>
      </c>
      <c r="V179" s="338">
        <f t="shared" si="238"/>
        <v>0</v>
      </c>
      <c r="W179" s="338">
        <f t="shared" si="239"/>
        <v>0</v>
      </c>
      <c r="X179" s="338">
        <f t="shared" si="240"/>
        <v>0</v>
      </c>
      <c r="Y179" s="338">
        <f t="shared" si="241"/>
        <v>0</v>
      </c>
      <c r="Z179" s="338">
        <f t="shared" si="242"/>
        <v>0</v>
      </c>
      <c r="AA179" s="214">
        <v>4</v>
      </c>
      <c r="AB179" s="176">
        <v>2</v>
      </c>
      <c r="AC179" s="177">
        <v>1</v>
      </c>
      <c r="AD179" s="238">
        <f t="shared" si="243"/>
        <v>0</v>
      </c>
      <c r="AE179" s="238">
        <f t="shared" si="244"/>
        <v>0</v>
      </c>
      <c r="AF179" s="238">
        <f t="shared" si="245"/>
        <v>0</v>
      </c>
      <c r="AG179" s="238">
        <f>M179*VLOOKUP($AA179,'SKOR PPH'!$B$13:$D$21,3,FALSE)</f>
        <v>0</v>
      </c>
      <c r="AH179" s="238">
        <f>N179*VLOOKUP($AA179,'SKOR PPH'!$B$13:$D$21,3,FALSE)</f>
        <v>0</v>
      </c>
      <c r="AI179" s="238">
        <f>O179*VLOOKUP($AA179,'SKOR PPH'!$B$13:$D$21,3,FALSE)</f>
        <v>0</v>
      </c>
      <c r="AJ179" s="238">
        <f>P179*VLOOKUP($AA179,'SKOR PPH'!$B$13:$D$21,3,FALSE)</f>
        <v>0</v>
      </c>
      <c r="AK179" s="238">
        <f>$AD179*VLOOKUP($AA179,'SKOR PPH'!$B$13:$D$21,3,FALSE)</f>
        <v>0</v>
      </c>
      <c r="AL179" s="238">
        <f>R179*VLOOKUP($AA179,'SKOR PPH'!$B$13:$D$21,3,FALSE)</f>
        <v>0</v>
      </c>
      <c r="AM179" s="238">
        <f>S179*VLOOKUP($AA179,'SKOR PPH'!$B$13:$D$21,3,FALSE)</f>
        <v>0</v>
      </c>
      <c r="AN179" s="238">
        <f>T179*VLOOKUP($AA179,'SKOR PPH'!$B$13:$D$21,3,FALSE)</f>
        <v>0</v>
      </c>
      <c r="AO179" s="238">
        <f>U179*VLOOKUP($AA179,'SKOR PPH'!$B$13:$D$21,3,FALSE)</f>
        <v>0</v>
      </c>
      <c r="AP179" s="238">
        <f>$AE179*VLOOKUP($AA179,'SKOR PPH'!$B$13:$D$21,3,FALSE)</f>
        <v>0</v>
      </c>
      <c r="AQ179" s="238">
        <f>W179*VLOOKUP($AA179,'SKOR PPH'!$B$13:$D$21,3,FALSE)</f>
        <v>0</v>
      </c>
      <c r="AR179" s="238">
        <f>X179*VLOOKUP($AA179,'SKOR PPH'!$B$13:$D$21,3,FALSE)</f>
        <v>0</v>
      </c>
      <c r="AS179" s="238">
        <f>Y179*VLOOKUP($AA179,'SKOR PPH'!$B$13:$D$21,3,FALSE)</f>
        <v>0</v>
      </c>
      <c r="AT179" s="238">
        <f>Z179*VLOOKUP($AA179,'SKOR PPH'!$B$13:$D$21,3,FALSE)</f>
        <v>0</v>
      </c>
      <c r="AU179" s="238">
        <f>$AF179*VLOOKUP($AA179,'SKOR PPH'!$B$13:$D$21,3,FALSE)</f>
        <v>0</v>
      </c>
    </row>
    <row r="180" spans="2:48" ht="15" customHeight="1" x14ac:dyDescent="0.2">
      <c r="B180" s="199" t="s">
        <v>257</v>
      </c>
      <c r="C180" s="212">
        <v>800</v>
      </c>
      <c r="D180" s="252">
        <v>7216</v>
      </c>
      <c r="E180" s="253">
        <v>0</v>
      </c>
      <c r="F180" s="149">
        <v>88</v>
      </c>
      <c r="G180" s="261">
        <v>0</v>
      </c>
      <c r="H180" s="208" t="s">
        <v>61</v>
      </c>
      <c r="I180" s="311">
        <v>3.0953060779648191E-2</v>
      </c>
      <c r="J180" s="311">
        <v>0.2384161632752472</v>
      </c>
      <c r="K180" s="311">
        <v>0.26936922405489522</v>
      </c>
      <c r="L180" s="144">
        <f t="shared" si="228"/>
        <v>3.5374926605312216</v>
      </c>
      <c r="M180" s="144">
        <f t="shared" si="229"/>
        <v>31.908183797991622</v>
      </c>
      <c r="N180" s="144">
        <f t="shared" si="230"/>
        <v>0</v>
      </c>
      <c r="O180" s="144">
        <f t="shared" si="231"/>
        <v>0.3891241926584344</v>
      </c>
      <c r="P180" s="144">
        <f t="shared" si="232"/>
        <v>0</v>
      </c>
      <c r="Q180" s="144">
        <f t="shared" si="233"/>
        <v>27.247561517171107</v>
      </c>
      <c r="R180" s="144">
        <f t="shared" si="234"/>
        <v>245.77300488488339</v>
      </c>
      <c r="S180" s="144">
        <f t="shared" si="235"/>
        <v>0</v>
      </c>
      <c r="T180" s="144">
        <f t="shared" si="236"/>
        <v>2.9972317668888215</v>
      </c>
      <c r="U180" s="144">
        <f t="shared" si="237"/>
        <v>0</v>
      </c>
      <c r="V180" s="338">
        <f t="shared" si="238"/>
        <v>30.78505417770231</v>
      </c>
      <c r="W180" s="338">
        <f t="shared" si="239"/>
        <v>277.68118868287485</v>
      </c>
      <c r="X180" s="338">
        <f t="shared" si="240"/>
        <v>0</v>
      </c>
      <c r="Y180" s="338">
        <f t="shared" si="241"/>
        <v>3.3863559595472545</v>
      </c>
      <c r="Z180" s="338">
        <f t="shared" si="242"/>
        <v>0</v>
      </c>
      <c r="AA180" s="199">
        <v>4</v>
      </c>
      <c r="AB180" s="176">
        <v>15</v>
      </c>
      <c r="AC180" s="177">
        <v>1</v>
      </c>
      <c r="AD180" s="238">
        <f t="shared" si="243"/>
        <v>3.5374926605312216</v>
      </c>
      <c r="AE180" s="238">
        <f t="shared" si="244"/>
        <v>27.247561517171107</v>
      </c>
      <c r="AF180" s="238">
        <f t="shared" si="245"/>
        <v>30.78505417770231</v>
      </c>
      <c r="AG180" s="238">
        <f>M180*VLOOKUP($AA180,'SKOR PPH'!$B$13:$D$21,3,FALSE)</f>
        <v>35.950950685197164</v>
      </c>
      <c r="AH180" s="238">
        <f>N180*VLOOKUP($AA180,'SKOR PPH'!$B$13:$D$21,3,FALSE)</f>
        <v>0</v>
      </c>
      <c r="AI180" s="238">
        <f>O180*VLOOKUP($AA180,'SKOR PPH'!$B$13:$D$21,3,FALSE)</f>
        <v>0.43842622786825802</v>
      </c>
      <c r="AJ180" s="238">
        <f>P180*VLOOKUP($AA180,'SKOR PPH'!$B$13:$D$21,3,FALSE)</f>
        <v>0</v>
      </c>
      <c r="AK180" s="238">
        <f>$AD180*VLOOKUP($AA180,'SKOR PPH'!$B$13:$D$21,3,FALSE)</f>
        <v>3.9856929806205277</v>
      </c>
      <c r="AL180" s="238">
        <f>R180*VLOOKUP($AA180,'SKOR PPH'!$B$13:$D$21,3,FALSE)</f>
        <v>276.91244460379812</v>
      </c>
      <c r="AM180" s="238">
        <f>S180*VLOOKUP($AA180,'SKOR PPH'!$B$13:$D$21,3,FALSE)</f>
        <v>0</v>
      </c>
      <c r="AN180" s="238">
        <f>T180*VLOOKUP($AA180,'SKOR PPH'!$B$13:$D$21,3,FALSE)</f>
        <v>3.3769810317536355</v>
      </c>
      <c r="AO180" s="238">
        <f>U180*VLOOKUP($AA180,'SKOR PPH'!$B$13:$D$21,3,FALSE)</f>
        <v>0</v>
      </c>
      <c r="AP180" s="238">
        <f>$AE180*VLOOKUP($AA180,'SKOR PPH'!$B$13:$D$21,3,FALSE)</f>
        <v>30.699827561396688</v>
      </c>
      <c r="AQ180" s="238">
        <f>W180*VLOOKUP($AA180,'SKOR PPH'!$B$13:$D$21,3,FALSE)</f>
        <v>312.86339528899509</v>
      </c>
      <c r="AR180" s="238">
        <f>X180*VLOOKUP($AA180,'SKOR PPH'!$B$13:$D$21,3,FALSE)</f>
        <v>0</v>
      </c>
      <c r="AS180" s="238">
        <f>Y180*VLOOKUP($AA180,'SKOR PPH'!$B$13:$D$21,3,FALSE)</f>
        <v>3.815407259621892</v>
      </c>
      <c r="AT180" s="238">
        <f>Z180*VLOOKUP($AA180,'SKOR PPH'!$B$13:$D$21,3,FALSE)</f>
        <v>0</v>
      </c>
      <c r="AU180" s="238">
        <f>$AF180*VLOOKUP($AA180,'SKOR PPH'!$B$13:$D$21,3,FALSE)</f>
        <v>34.685520542017194</v>
      </c>
    </row>
    <row r="181" spans="2:48" ht="15" customHeight="1" x14ac:dyDescent="0.2">
      <c r="B181" s="199" t="s">
        <v>258</v>
      </c>
      <c r="C181" s="212">
        <v>250</v>
      </c>
      <c r="D181" s="149">
        <v>1335.5</v>
      </c>
      <c r="E181" s="243">
        <v>12.65</v>
      </c>
      <c r="F181" s="149">
        <v>130.12</v>
      </c>
      <c r="G181" s="261">
        <v>52.1</v>
      </c>
      <c r="H181" s="208" t="s">
        <v>60</v>
      </c>
      <c r="I181" s="311">
        <v>2.6905529232195753E-2</v>
      </c>
      <c r="J181" s="311">
        <v>0.54489548144043565</v>
      </c>
      <c r="K181" s="311">
        <v>0.571801010672631</v>
      </c>
      <c r="L181" s="144">
        <f t="shared" si="228"/>
        <v>0.96091175829270548</v>
      </c>
      <c r="M181" s="144">
        <f t="shared" si="229"/>
        <v>5.1331906127996323</v>
      </c>
      <c r="N181" s="144">
        <f t="shared" si="230"/>
        <v>4.8622134969610896E-2</v>
      </c>
      <c r="O181" s="144">
        <f t="shared" si="231"/>
        <v>0.5001353519561873</v>
      </c>
      <c r="P181" s="144">
        <f t="shared" si="232"/>
        <v>0.20025401042819982</v>
      </c>
      <c r="Q181" s="144">
        <f t="shared" si="233"/>
        <v>19.460552908586987</v>
      </c>
      <c r="R181" s="144">
        <f t="shared" si="234"/>
        <v>103.9582736376717</v>
      </c>
      <c r="S181" s="144">
        <f t="shared" si="235"/>
        <v>0.98470397717450164</v>
      </c>
      <c r="T181" s="144">
        <f t="shared" si="236"/>
        <v>10.128828577861356</v>
      </c>
      <c r="U181" s="144">
        <f t="shared" si="237"/>
        <v>4.0555792261495283</v>
      </c>
      <c r="V181" s="338">
        <f t="shared" si="238"/>
        <v>20.421464666879679</v>
      </c>
      <c r="W181" s="338">
        <f t="shared" si="239"/>
        <v>109.09146425047125</v>
      </c>
      <c r="X181" s="338">
        <f t="shared" si="240"/>
        <v>1.0333261121441117</v>
      </c>
      <c r="Y181" s="338">
        <f t="shared" si="241"/>
        <v>10.628963929817536</v>
      </c>
      <c r="Z181" s="338">
        <f t="shared" si="242"/>
        <v>4.2558332365777254</v>
      </c>
      <c r="AA181" s="199">
        <v>5</v>
      </c>
      <c r="AB181" s="176">
        <v>17</v>
      </c>
      <c r="AC181" s="177">
        <v>1</v>
      </c>
      <c r="AD181" s="238">
        <f t="shared" si="243"/>
        <v>0.96091175829270548</v>
      </c>
      <c r="AE181" s="238">
        <f t="shared" si="244"/>
        <v>19.460552908586987</v>
      </c>
      <c r="AF181" s="238">
        <f t="shared" si="245"/>
        <v>20.421464666879679</v>
      </c>
      <c r="AG181" s="238">
        <f>M181*VLOOKUP($AA181,'SKOR PPH'!$B$13:$D$21,3,FALSE)</f>
        <v>7.2131594491060431</v>
      </c>
      <c r="AH181" s="238">
        <f>N181*VLOOKUP($AA181,'SKOR PPH'!$B$13:$D$21,3,FALSE)</f>
        <v>6.8323824059297225E-2</v>
      </c>
      <c r="AI181" s="238">
        <f>O181*VLOOKUP($AA181,'SKOR PPH'!$B$13:$D$21,3,FALSE)</f>
        <v>0.70279019656883435</v>
      </c>
      <c r="AJ181" s="238">
        <f>P181*VLOOKUP($AA181,'SKOR PPH'!$B$13:$D$21,3,FALSE)</f>
        <v>0.28139693545370636</v>
      </c>
      <c r="AK181" s="238">
        <f>$AD181*VLOOKUP($AA181,'SKOR PPH'!$B$13:$D$21,3,FALSE)</f>
        <v>1.3502732027529096</v>
      </c>
      <c r="AL181" s="238">
        <f>R181*VLOOKUP($AA181,'SKOR PPH'!$B$13:$D$21,3,FALSE)</f>
        <v>146.08216611565626</v>
      </c>
      <c r="AM181" s="238">
        <f>S181*VLOOKUP($AA181,'SKOR PPH'!$B$13:$D$21,3,FALSE)</f>
        <v>1.3837060287256098</v>
      </c>
      <c r="AN181" s="238">
        <f>T181*VLOOKUP($AA181,'SKOR PPH'!$B$13:$D$21,3,FALSE)</f>
        <v>14.233029917610777</v>
      </c>
      <c r="AO181" s="238">
        <f>U181*VLOOKUP($AA181,'SKOR PPH'!$B$13:$D$21,3,FALSE)</f>
        <v>5.698899928585317</v>
      </c>
      <c r="AP181" s="238">
        <f>$AE181*VLOOKUP($AA181,'SKOR PPH'!$B$13:$D$21,3,FALSE)</f>
        <v>27.345968947146435</v>
      </c>
      <c r="AQ181" s="238">
        <f>W181*VLOOKUP($AA181,'SKOR PPH'!$B$13:$D$21,3,FALSE)</f>
        <v>153.29532556476221</v>
      </c>
      <c r="AR181" s="238">
        <f>X181*VLOOKUP($AA181,'SKOR PPH'!$B$13:$D$21,3,FALSE)</f>
        <v>1.4520298527849058</v>
      </c>
      <c r="AS181" s="238">
        <f>Y181*VLOOKUP($AA181,'SKOR PPH'!$B$13:$D$21,3,FALSE)</f>
        <v>14.935820114179601</v>
      </c>
      <c r="AT181" s="238">
        <f>Z181*VLOOKUP($AA181,'SKOR PPH'!$B$13:$D$21,3,FALSE)</f>
        <v>5.9802968640390199</v>
      </c>
      <c r="AU181" s="238">
        <f>$AF181*VLOOKUP($AA181,'SKOR PPH'!$B$13:$D$21,3,FALSE)</f>
        <v>28.696242149899327</v>
      </c>
    </row>
    <row r="182" spans="2:48" ht="15" customHeight="1" x14ac:dyDescent="0.2">
      <c r="B182" s="199" t="s">
        <v>387</v>
      </c>
      <c r="C182" s="212">
        <v>100</v>
      </c>
      <c r="D182" s="149">
        <v>720</v>
      </c>
      <c r="E182" s="243">
        <v>0.6</v>
      </c>
      <c r="F182" s="149">
        <v>81</v>
      </c>
      <c r="G182" s="261">
        <v>0.4</v>
      </c>
      <c r="H182" s="208" t="s">
        <v>36</v>
      </c>
      <c r="I182" s="311">
        <v>0</v>
      </c>
      <c r="J182" s="311">
        <v>0</v>
      </c>
      <c r="K182" s="311">
        <v>0</v>
      </c>
      <c r="L182" s="144">
        <f t="shared" si="228"/>
        <v>0</v>
      </c>
      <c r="M182" s="144">
        <f t="shared" si="229"/>
        <v>0</v>
      </c>
      <c r="N182" s="144">
        <f t="shared" si="230"/>
        <v>0</v>
      </c>
      <c r="O182" s="144">
        <f t="shared" si="231"/>
        <v>0</v>
      </c>
      <c r="P182" s="144">
        <f t="shared" si="232"/>
        <v>0</v>
      </c>
      <c r="Q182" s="144">
        <f t="shared" si="233"/>
        <v>0</v>
      </c>
      <c r="R182" s="144">
        <f t="shared" si="234"/>
        <v>0</v>
      </c>
      <c r="S182" s="144">
        <f t="shared" si="235"/>
        <v>0</v>
      </c>
      <c r="T182" s="144">
        <f t="shared" si="236"/>
        <v>0</v>
      </c>
      <c r="U182" s="144">
        <f t="shared" si="237"/>
        <v>0</v>
      </c>
      <c r="V182" s="338">
        <f t="shared" si="238"/>
        <v>0</v>
      </c>
      <c r="W182" s="338">
        <f t="shared" si="239"/>
        <v>0</v>
      </c>
      <c r="X182" s="338">
        <f t="shared" si="240"/>
        <v>0</v>
      </c>
      <c r="Y182" s="338">
        <f t="shared" si="241"/>
        <v>0</v>
      </c>
      <c r="Z182" s="338">
        <f t="shared" si="242"/>
        <v>0</v>
      </c>
      <c r="AA182" s="199">
        <v>4</v>
      </c>
      <c r="AB182" s="176">
        <v>16</v>
      </c>
      <c r="AC182" s="177">
        <v>1</v>
      </c>
      <c r="AD182" s="238">
        <f t="shared" si="243"/>
        <v>0</v>
      </c>
      <c r="AE182" s="238">
        <f t="shared" si="244"/>
        <v>0</v>
      </c>
      <c r="AF182" s="238">
        <f t="shared" si="245"/>
        <v>0</v>
      </c>
      <c r="AG182" s="238">
        <f>M182*VLOOKUP($AA182,'SKOR PPH'!$B$13:$D$21,3,FALSE)</f>
        <v>0</v>
      </c>
      <c r="AH182" s="238">
        <f>N182*VLOOKUP($AA182,'SKOR PPH'!$B$13:$D$21,3,FALSE)</f>
        <v>0</v>
      </c>
      <c r="AI182" s="238">
        <f>O182*VLOOKUP($AA182,'SKOR PPH'!$B$13:$D$21,3,FALSE)</f>
        <v>0</v>
      </c>
      <c r="AJ182" s="238">
        <f>P182*VLOOKUP($AA182,'SKOR PPH'!$B$13:$D$21,3,FALSE)</f>
        <v>0</v>
      </c>
      <c r="AK182" s="238">
        <f>$AD182*VLOOKUP($AA182,'SKOR PPH'!$B$13:$D$21,3,FALSE)</f>
        <v>0</v>
      </c>
      <c r="AL182" s="238">
        <f>R182*VLOOKUP($AA182,'SKOR PPH'!$B$13:$D$21,3,FALSE)</f>
        <v>0</v>
      </c>
      <c r="AM182" s="238">
        <f>S182*VLOOKUP($AA182,'SKOR PPH'!$B$13:$D$21,3,FALSE)</f>
        <v>0</v>
      </c>
      <c r="AN182" s="238">
        <f>T182*VLOOKUP($AA182,'SKOR PPH'!$B$13:$D$21,3,FALSE)</f>
        <v>0</v>
      </c>
      <c r="AO182" s="238">
        <f>U182*VLOOKUP($AA182,'SKOR PPH'!$B$13:$D$21,3,FALSE)</f>
        <v>0</v>
      </c>
      <c r="AP182" s="238">
        <f>$AE182*VLOOKUP($AA182,'SKOR PPH'!$B$13:$D$21,3,FALSE)</f>
        <v>0</v>
      </c>
      <c r="AQ182" s="238">
        <f>W182*VLOOKUP($AA182,'SKOR PPH'!$B$13:$D$21,3,FALSE)</f>
        <v>0</v>
      </c>
      <c r="AR182" s="238">
        <f>X182*VLOOKUP($AA182,'SKOR PPH'!$B$13:$D$21,3,FALSE)</f>
        <v>0</v>
      </c>
      <c r="AS182" s="238">
        <f>Y182*VLOOKUP($AA182,'SKOR PPH'!$B$13:$D$21,3,FALSE)</f>
        <v>0</v>
      </c>
      <c r="AT182" s="238">
        <f>Z182*VLOOKUP($AA182,'SKOR PPH'!$B$13:$D$21,3,FALSE)</f>
        <v>0</v>
      </c>
      <c r="AU182" s="238">
        <f>$AF182*VLOOKUP($AA182,'SKOR PPH'!$B$13:$D$21,3,FALSE)</f>
        <v>0</v>
      </c>
    </row>
    <row r="183" spans="2:48" ht="15" customHeight="1" x14ac:dyDescent="0.2">
      <c r="B183" s="199" t="s">
        <v>33</v>
      </c>
      <c r="C183" s="212">
        <v>800</v>
      </c>
      <c r="D183" s="149">
        <v>7362</v>
      </c>
      <c r="E183" s="243">
        <v>13.5</v>
      </c>
      <c r="F183" s="149">
        <v>810</v>
      </c>
      <c r="G183" s="261">
        <v>0</v>
      </c>
      <c r="H183" s="208" t="s">
        <v>61</v>
      </c>
      <c r="I183" s="311">
        <v>0</v>
      </c>
      <c r="J183" s="311">
        <v>0</v>
      </c>
      <c r="K183" s="311">
        <v>0</v>
      </c>
      <c r="L183" s="144">
        <f t="shared" si="228"/>
        <v>0</v>
      </c>
      <c r="M183" s="144">
        <f t="shared" si="229"/>
        <v>0</v>
      </c>
      <c r="N183" s="144">
        <f t="shared" si="230"/>
        <v>0</v>
      </c>
      <c r="O183" s="144">
        <f t="shared" si="231"/>
        <v>0</v>
      </c>
      <c r="P183" s="144">
        <f t="shared" si="232"/>
        <v>0</v>
      </c>
      <c r="Q183" s="144">
        <f t="shared" si="233"/>
        <v>0</v>
      </c>
      <c r="R183" s="144">
        <f t="shared" si="234"/>
        <v>0</v>
      </c>
      <c r="S183" s="144">
        <f t="shared" si="235"/>
        <v>0</v>
      </c>
      <c r="T183" s="144">
        <f t="shared" si="236"/>
        <v>0</v>
      </c>
      <c r="U183" s="144">
        <f t="shared" si="237"/>
        <v>0</v>
      </c>
      <c r="V183" s="338">
        <f t="shared" si="238"/>
        <v>0</v>
      </c>
      <c r="W183" s="338">
        <f t="shared" si="239"/>
        <v>0</v>
      </c>
      <c r="X183" s="338">
        <f t="shared" si="240"/>
        <v>0</v>
      </c>
      <c r="Y183" s="338">
        <f t="shared" si="241"/>
        <v>0</v>
      </c>
      <c r="Z183" s="338">
        <f t="shared" si="242"/>
        <v>0</v>
      </c>
      <c r="AA183" s="199">
        <v>4</v>
      </c>
      <c r="AB183" s="176">
        <v>16</v>
      </c>
      <c r="AC183" s="177">
        <v>1</v>
      </c>
      <c r="AD183" s="238">
        <f t="shared" si="243"/>
        <v>0</v>
      </c>
      <c r="AE183" s="238">
        <f t="shared" si="244"/>
        <v>0</v>
      </c>
      <c r="AF183" s="238">
        <f t="shared" si="245"/>
        <v>0</v>
      </c>
      <c r="AG183" s="238">
        <f>M183*VLOOKUP($AA183,'SKOR PPH'!$B$13:$D$21,3,FALSE)</f>
        <v>0</v>
      </c>
      <c r="AH183" s="238">
        <f>N183*VLOOKUP($AA183,'SKOR PPH'!$B$13:$D$21,3,FALSE)</f>
        <v>0</v>
      </c>
      <c r="AI183" s="238">
        <f>O183*VLOOKUP($AA183,'SKOR PPH'!$B$13:$D$21,3,FALSE)</f>
        <v>0</v>
      </c>
      <c r="AJ183" s="238">
        <f>P183*VLOOKUP($AA183,'SKOR PPH'!$B$13:$D$21,3,FALSE)</f>
        <v>0</v>
      </c>
      <c r="AK183" s="238">
        <f>$AD183*VLOOKUP($AA183,'SKOR PPH'!$B$13:$D$21,3,FALSE)</f>
        <v>0</v>
      </c>
      <c r="AL183" s="238">
        <f>R183*VLOOKUP($AA183,'SKOR PPH'!$B$13:$D$21,3,FALSE)</f>
        <v>0</v>
      </c>
      <c r="AM183" s="238">
        <f>S183*VLOOKUP($AA183,'SKOR PPH'!$B$13:$D$21,3,FALSE)</f>
        <v>0</v>
      </c>
      <c r="AN183" s="238">
        <f>T183*VLOOKUP($AA183,'SKOR PPH'!$B$13:$D$21,3,FALSE)</f>
        <v>0</v>
      </c>
      <c r="AO183" s="238">
        <f>U183*VLOOKUP($AA183,'SKOR PPH'!$B$13:$D$21,3,FALSE)</f>
        <v>0</v>
      </c>
      <c r="AP183" s="238">
        <f>$AE183*VLOOKUP($AA183,'SKOR PPH'!$B$13:$D$21,3,FALSE)</f>
        <v>0</v>
      </c>
      <c r="AQ183" s="238">
        <f>W183*VLOOKUP($AA183,'SKOR PPH'!$B$13:$D$21,3,FALSE)</f>
        <v>0</v>
      </c>
      <c r="AR183" s="238">
        <f>X183*VLOOKUP($AA183,'SKOR PPH'!$B$13:$D$21,3,FALSE)</f>
        <v>0</v>
      </c>
      <c r="AS183" s="238">
        <f>Y183*VLOOKUP($AA183,'SKOR PPH'!$B$13:$D$21,3,FALSE)</f>
        <v>0</v>
      </c>
      <c r="AT183" s="238">
        <f>Z183*VLOOKUP($AA183,'SKOR PPH'!$B$13:$D$21,3,FALSE)</f>
        <v>0</v>
      </c>
      <c r="AU183" s="238">
        <f>$AF183*VLOOKUP($AA183,'SKOR PPH'!$B$13:$D$21,3,FALSE)</f>
        <v>0</v>
      </c>
    </row>
    <row r="184" spans="2:48" ht="15" customHeight="1" x14ac:dyDescent="0.2">
      <c r="B184" s="211"/>
      <c r="C184" s="187"/>
      <c r="D184" s="188"/>
      <c r="E184" s="248"/>
      <c r="F184" s="188"/>
      <c r="G184" s="188"/>
      <c r="H184" s="267"/>
      <c r="I184" s="314"/>
      <c r="J184" s="314"/>
      <c r="K184" s="314"/>
      <c r="L184" s="127"/>
      <c r="M184" s="182"/>
      <c r="N184" s="127"/>
      <c r="O184" s="189"/>
      <c r="P184" s="189"/>
      <c r="Q184" s="127"/>
      <c r="R184" s="182"/>
      <c r="S184" s="127"/>
      <c r="T184" s="189"/>
      <c r="U184" s="189"/>
      <c r="V184" s="127"/>
      <c r="W184" s="182"/>
      <c r="X184" s="127"/>
      <c r="Y184" s="189"/>
      <c r="Z184" s="189"/>
      <c r="AA184" s="190"/>
      <c r="AB184" s="190"/>
      <c r="AC184" s="191"/>
      <c r="AD184" s="236"/>
      <c r="AE184" s="236"/>
      <c r="AF184" s="236"/>
      <c r="AG184" s="236"/>
      <c r="AH184" s="236"/>
      <c r="AI184" s="236"/>
      <c r="AJ184" s="236"/>
      <c r="AK184" s="236"/>
      <c r="AL184" s="236"/>
      <c r="AM184" s="236"/>
      <c r="AN184" s="236"/>
      <c r="AO184" s="236"/>
      <c r="AP184" s="236"/>
      <c r="AQ184" s="236"/>
      <c r="AR184" s="236"/>
      <c r="AS184" s="236"/>
      <c r="AT184" s="236"/>
      <c r="AU184" s="236"/>
    </row>
    <row r="185" spans="2:48" ht="15" customHeight="1" x14ac:dyDescent="0.2">
      <c r="B185" s="186" t="s">
        <v>93</v>
      </c>
      <c r="C185" s="187"/>
      <c r="D185" s="188"/>
      <c r="E185" s="248"/>
      <c r="F185" s="188"/>
      <c r="G185" s="188"/>
      <c r="H185" s="267"/>
      <c r="I185" s="314"/>
      <c r="J185" s="314"/>
      <c r="K185" s="314"/>
      <c r="L185" s="170"/>
      <c r="M185" s="170"/>
      <c r="N185" s="170"/>
      <c r="O185" s="171"/>
      <c r="P185" s="171"/>
      <c r="Q185" s="170"/>
      <c r="R185" s="170"/>
      <c r="S185" s="170"/>
      <c r="T185" s="171"/>
      <c r="U185" s="171"/>
      <c r="V185" s="170"/>
      <c r="W185" s="170"/>
      <c r="X185" s="170"/>
      <c r="Y185" s="171"/>
      <c r="Z185" s="171"/>
      <c r="AA185" s="190"/>
      <c r="AB185" s="190"/>
      <c r="AC185" s="191"/>
      <c r="AD185" s="236"/>
      <c r="AE185" s="236"/>
      <c r="AF185" s="236"/>
      <c r="AG185" s="236"/>
      <c r="AH185" s="236"/>
      <c r="AI185" s="236"/>
      <c r="AJ185" s="236"/>
      <c r="AK185" s="236"/>
      <c r="AL185" s="236"/>
      <c r="AM185" s="236"/>
      <c r="AN185" s="236"/>
      <c r="AO185" s="236"/>
      <c r="AP185" s="236"/>
      <c r="AQ185" s="236"/>
      <c r="AR185" s="236"/>
      <c r="AS185" s="236"/>
      <c r="AT185" s="236"/>
      <c r="AU185" s="236"/>
    </row>
    <row r="186" spans="2:48" ht="15" customHeight="1" x14ac:dyDescent="0.2">
      <c r="B186" s="199" t="s">
        <v>259</v>
      </c>
      <c r="C186" s="207">
        <v>100</v>
      </c>
      <c r="D186" s="149">
        <v>364</v>
      </c>
      <c r="E186" s="243">
        <v>0</v>
      </c>
      <c r="F186" s="149">
        <v>0</v>
      </c>
      <c r="G186" s="261">
        <v>94</v>
      </c>
      <c r="H186" s="208" t="s">
        <v>36</v>
      </c>
      <c r="I186" s="311">
        <v>0.17244344063726696</v>
      </c>
      <c r="J186" s="311">
        <v>1.3769618859433366</v>
      </c>
      <c r="K186" s="311">
        <v>1.5494053265806031</v>
      </c>
      <c r="L186" s="144">
        <f t="shared" ref="L186:L194" si="246">$I186*C186/7</f>
        <v>2.463477723389528</v>
      </c>
      <c r="M186" s="144">
        <f t="shared" ref="M186:M194" si="247">$I186*D186/7</f>
        <v>8.9670589131378815</v>
      </c>
      <c r="N186" s="144">
        <f t="shared" ref="N186:N194" si="248">$I186*E186/7</f>
        <v>0</v>
      </c>
      <c r="O186" s="144">
        <f t="shared" ref="O186:O194" si="249">$I186*F186/7</f>
        <v>0</v>
      </c>
      <c r="P186" s="144">
        <f t="shared" ref="P186:P194" si="250">$I186*G186/7</f>
        <v>2.3156690599861562</v>
      </c>
      <c r="Q186" s="144">
        <f t="shared" ref="Q186:Q194" si="251">$J186*C186/7</f>
        <v>19.670884084904806</v>
      </c>
      <c r="R186" s="144">
        <f t="shared" ref="R186:R194" si="252">$J186*D186/7</f>
        <v>71.6020180690535</v>
      </c>
      <c r="S186" s="144">
        <f t="shared" ref="S186:S194" si="253">$J186*E186/7</f>
        <v>0</v>
      </c>
      <c r="T186" s="144">
        <f t="shared" ref="T186:T194" si="254">$J186*F186/7</f>
        <v>0</v>
      </c>
      <c r="U186" s="144">
        <f t="shared" ref="U186:U194" si="255">$J186*G186/7</f>
        <v>18.49063103981052</v>
      </c>
      <c r="V186" s="338">
        <f t="shared" ref="V186:V194" si="256">$K186*C186/7</f>
        <v>22.134361808294329</v>
      </c>
      <c r="W186" s="338">
        <f t="shared" ref="W186:W194" si="257">$K186*D186/7</f>
        <v>80.569076982191362</v>
      </c>
      <c r="X186" s="338">
        <f t="shared" ref="X186:X194" si="258">$K186*E186/7</f>
        <v>0</v>
      </c>
      <c r="Y186" s="338">
        <f t="shared" ref="Y186:Y194" si="259">$K186*F186/7</f>
        <v>0</v>
      </c>
      <c r="Z186" s="338">
        <f t="shared" ref="Z186:Z194" si="260">$K186*G186/7</f>
        <v>20.806300099796669</v>
      </c>
      <c r="AA186" s="199">
        <v>7</v>
      </c>
      <c r="AB186" s="176">
        <v>23</v>
      </c>
      <c r="AC186" s="177">
        <v>1</v>
      </c>
      <c r="AD186" s="238">
        <f t="shared" ref="AD186:AD194" si="261">$L186*$AC186</f>
        <v>2.463477723389528</v>
      </c>
      <c r="AE186" s="238">
        <f t="shared" ref="AE186:AE194" si="262">$Q186*$AC186</f>
        <v>19.670884084904806</v>
      </c>
      <c r="AF186" s="238">
        <f t="shared" ref="AF186:AF194" si="263">$V186*$AC186</f>
        <v>22.134361808294329</v>
      </c>
      <c r="AG186" s="238">
        <f>M186*VLOOKUP($AA186,'SKOR PPH'!$B$13:$D$21,3,FALSE)</f>
        <v>11.66793705777501</v>
      </c>
      <c r="AH186" s="238">
        <f>N186*VLOOKUP($AA186,'SKOR PPH'!$B$13:$D$21,3,FALSE)</f>
        <v>0</v>
      </c>
      <c r="AI186" s="238">
        <f>O186*VLOOKUP($AA186,'SKOR PPH'!$B$13:$D$21,3,FALSE)</f>
        <v>0</v>
      </c>
      <c r="AJ186" s="238">
        <f>P186*VLOOKUP($AA186,'SKOR PPH'!$B$13:$D$21,3,FALSE)</f>
        <v>3.0131485808539864</v>
      </c>
      <c r="AK186" s="238">
        <f>$AD186*VLOOKUP($AA186,'SKOR PPH'!$B$13:$D$21,3,FALSE)</f>
        <v>3.2054772136744534</v>
      </c>
      <c r="AL186" s="238">
        <f>R186*VLOOKUP($AA186,'SKOR PPH'!$B$13:$D$21,3,FALSE)</f>
        <v>93.168545911452412</v>
      </c>
      <c r="AM186" s="238">
        <f>S186*VLOOKUP($AA186,'SKOR PPH'!$B$13:$D$21,3,FALSE)</f>
        <v>0</v>
      </c>
      <c r="AN186" s="238">
        <f>T186*VLOOKUP($AA186,'SKOR PPH'!$B$13:$D$21,3,FALSE)</f>
        <v>0</v>
      </c>
      <c r="AO186" s="238">
        <f>U186*VLOOKUP($AA186,'SKOR PPH'!$B$13:$D$21,3,FALSE)</f>
        <v>24.060009109001445</v>
      </c>
      <c r="AP186" s="238">
        <f>$AE186*VLOOKUP($AA186,'SKOR PPH'!$B$13:$D$21,3,FALSE)</f>
        <v>25.595754371278133</v>
      </c>
      <c r="AQ186" s="238">
        <f>W186*VLOOKUP($AA186,'SKOR PPH'!$B$13:$D$21,3,FALSE)</f>
        <v>104.83648296922739</v>
      </c>
      <c r="AR186" s="238">
        <f>X186*VLOOKUP($AA186,'SKOR PPH'!$B$13:$D$21,3,FALSE)</f>
        <v>0</v>
      </c>
      <c r="AS186" s="238">
        <f>Y186*VLOOKUP($AA186,'SKOR PPH'!$B$13:$D$21,3,FALSE)</f>
        <v>0</v>
      </c>
      <c r="AT186" s="238">
        <f>Z186*VLOOKUP($AA186,'SKOR PPH'!$B$13:$D$21,3,FALSE)</f>
        <v>27.073157689855424</v>
      </c>
      <c r="AU186" s="238">
        <f>$AF186*VLOOKUP($AA186,'SKOR PPH'!$B$13:$D$21,3,FALSE)</f>
        <v>28.801231584952578</v>
      </c>
      <c r="AV186" s="222"/>
    </row>
    <row r="187" spans="2:48" ht="15" customHeight="1" x14ac:dyDescent="0.2">
      <c r="B187" s="199" t="s">
        <v>260</v>
      </c>
      <c r="C187" s="207">
        <v>100</v>
      </c>
      <c r="D187" s="149">
        <v>377</v>
      </c>
      <c r="E187" s="243">
        <v>3</v>
      </c>
      <c r="F187" s="149">
        <v>10</v>
      </c>
      <c r="G187" s="261">
        <v>85.5</v>
      </c>
      <c r="H187" s="208" t="s">
        <v>36</v>
      </c>
      <c r="I187" s="311">
        <v>1.8564808272933037E-3</v>
      </c>
      <c r="J187" s="311">
        <v>1.1662934322251434E-2</v>
      </c>
      <c r="K187" s="311">
        <v>1.3519415149544738E-2</v>
      </c>
      <c r="L187" s="144">
        <f t="shared" si="246"/>
        <v>2.6521154675618625E-2</v>
      </c>
      <c r="M187" s="144">
        <f t="shared" si="247"/>
        <v>9.9984753127082215E-2</v>
      </c>
      <c r="N187" s="144">
        <f t="shared" si="248"/>
        <v>7.9563464026855869E-4</v>
      </c>
      <c r="O187" s="144">
        <f t="shared" si="249"/>
        <v>2.6521154675618621E-3</v>
      </c>
      <c r="P187" s="144">
        <f t="shared" si="250"/>
        <v>2.2675587247653922E-2</v>
      </c>
      <c r="Q187" s="144">
        <f t="shared" si="251"/>
        <v>0.16661334746073475</v>
      </c>
      <c r="R187" s="144">
        <f t="shared" si="252"/>
        <v>0.62813231992697005</v>
      </c>
      <c r="S187" s="144">
        <f t="shared" si="253"/>
        <v>4.9984004238220426E-3</v>
      </c>
      <c r="T187" s="144">
        <f t="shared" si="254"/>
        <v>1.6661334746073477E-2</v>
      </c>
      <c r="U187" s="144">
        <f t="shared" si="255"/>
        <v>0.14245441207892823</v>
      </c>
      <c r="V187" s="338">
        <f t="shared" si="256"/>
        <v>0.19313450213635339</v>
      </c>
      <c r="W187" s="338">
        <f t="shared" si="257"/>
        <v>0.72811707305405238</v>
      </c>
      <c r="X187" s="338">
        <f t="shared" si="258"/>
        <v>5.7940350640906021E-3</v>
      </c>
      <c r="Y187" s="338">
        <f t="shared" si="259"/>
        <v>1.9313450213635341E-2</v>
      </c>
      <c r="Z187" s="338">
        <f t="shared" si="260"/>
        <v>0.16512999932658215</v>
      </c>
      <c r="AA187" s="199">
        <v>7</v>
      </c>
      <c r="AB187" s="176">
        <v>24</v>
      </c>
      <c r="AC187" s="177">
        <v>1</v>
      </c>
      <c r="AD187" s="238">
        <f t="shared" si="261"/>
        <v>2.6521154675618625E-2</v>
      </c>
      <c r="AE187" s="238">
        <f t="shared" si="262"/>
        <v>0.16661334746073475</v>
      </c>
      <c r="AF187" s="238">
        <f t="shared" si="263"/>
        <v>0.19313450213635339</v>
      </c>
      <c r="AG187" s="238">
        <f>M187*VLOOKUP($AA187,'SKOR PPH'!$B$13:$D$21,3,FALSE)</f>
        <v>0.13010016076895936</v>
      </c>
      <c r="AH187" s="238">
        <f>N187*VLOOKUP($AA187,'SKOR PPH'!$B$13:$D$21,3,FALSE)</f>
        <v>1.0352797939174486E-3</v>
      </c>
      <c r="AI187" s="238">
        <f>O187*VLOOKUP($AA187,'SKOR PPH'!$B$13:$D$21,3,FALSE)</f>
        <v>3.4509326463914949E-3</v>
      </c>
      <c r="AJ187" s="238">
        <f>P187*VLOOKUP($AA187,'SKOR PPH'!$B$13:$D$21,3,FALSE)</f>
        <v>2.9505474126647283E-2</v>
      </c>
      <c r="AK187" s="238">
        <f>$AD187*VLOOKUP($AA187,'SKOR PPH'!$B$13:$D$21,3,FALSE)</f>
        <v>3.4509326463914955E-2</v>
      </c>
      <c r="AL187" s="238">
        <f>R187*VLOOKUP($AA187,'SKOR PPH'!$B$13:$D$21,3,FALSE)</f>
        <v>0.81732577468897338</v>
      </c>
      <c r="AM187" s="238">
        <f>S187*VLOOKUP($AA187,'SKOR PPH'!$B$13:$D$21,3,FALSE)</f>
        <v>6.5039186314772412E-3</v>
      </c>
      <c r="AN187" s="238">
        <f>T187*VLOOKUP($AA187,'SKOR PPH'!$B$13:$D$21,3,FALSE)</f>
        <v>2.1679728771590807E-2</v>
      </c>
      <c r="AO187" s="238">
        <f>U187*VLOOKUP($AA187,'SKOR PPH'!$B$13:$D$21,3,FALSE)</f>
        <v>0.1853616809971014</v>
      </c>
      <c r="AP187" s="238">
        <f>$AE187*VLOOKUP($AA187,'SKOR PPH'!$B$13:$D$21,3,FALSE)</f>
        <v>0.21679728771590803</v>
      </c>
      <c r="AQ187" s="238">
        <f>W187*VLOOKUP($AA187,'SKOR PPH'!$B$13:$D$21,3,FALSE)</f>
        <v>0.94742593545793286</v>
      </c>
      <c r="AR187" s="238">
        <f>X187*VLOOKUP($AA187,'SKOR PPH'!$B$13:$D$21,3,FALSE)</f>
        <v>7.5391984253946913E-3</v>
      </c>
      <c r="AS187" s="238">
        <f>Y187*VLOOKUP($AA187,'SKOR PPH'!$B$13:$D$21,3,FALSE)</f>
        <v>2.5130661417982304E-2</v>
      </c>
      <c r="AT187" s="238">
        <f>Z187*VLOOKUP($AA187,'SKOR PPH'!$B$13:$D$21,3,FALSE)</f>
        <v>0.21486715512374868</v>
      </c>
      <c r="AU187" s="238">
        <f>$AF187*VLOOKUP($AA187,'SKOR PPH'!$B$13:$D$21,3,FALSE)</f>
        <v>0.25130661417982303</v>
      </c>
    </row>
    <row r="188" spans="2:48" ht="15" customHeight="1" x14ac:dyDescent="0.2">
      <c r="B188" s="199" t="s">
        <v>261</v>
      </c>
      <c r="C188" s="207">
        <v>100</v>
      </c>
      <c r="D188" s="149">
        <v>132</v>
      </c>
      <c r="E188" s="243">
        <v>19.5</v>
      </c>
      <c r="F188" s="149">
        <v>0.7</v>
      </c>
      <c r="G188" s="261">
        <v>67.8</v>
      </c>
      <c r="H188" s="208" t="s">
        <v>36</v>
      </c>
      <c r="I188" s="311">
        <v>3.9885753067942188E-3</v>
      </c>
      <c r="J188" s="311">
        <v>4.9707723178108822E-2</v>
      </c>
      <c r="K188" s="311">
        <v>5.3696298484902989E-2</v>
      </c>
      <c r="L188" s="144">
        <f>$I188*C188/7</f>
        <v>5.6979647239917407E-2</v>
      </c>
      <c r="M188" s="144">
        <f t="shared" si="247"/>
        <v>7.5213134356690983E-2</v>
      </c>
      <c r="N188" s="144">
        <f t="shared" si="248"/>
        <v>1.1111031211783895E-2</v>
      </c>
      <c r="O188" s="144">
        <f t="shared" si="249"/>
        <v>3.9885753067942181E-4</v>
      </c>
      <c r="P188" s="144">
        <f t="shared" si="250"/>
        <v>3.8632200828663997E-2</v>
      </c>
      <c r="Q188" s="144">
        <f t="shared" si="251"/>
        <v>0.71011033111584021</v>
      </c>
      <c r="R188" s="144">
        <f t="shared" si="252"/>
        <v>0.9373456370729093</v>
      </c>
      <c r="S188" s="144">
        <f t="shared" si="253"/>
        <v>0.13847151456758885</v>
      </c>
      <c r="T188" s="144">
        <f t="shared" si="254"/>
        <v>4.9707723178108818E-3</v>
      </c>
      <c r="U188" s="144">
        <f t="shared" si="255"/>
        <v>0.48145480449653971</v>
      </c>
      <c r="V188" s="338">
        <f t="shared" si="256"/>
        <v>0.76708997835575699</v>
      </c>
      <c r="W188" s="338">
        <f t="shared" si="257"/>
        <v>1.0125587714295992</v>
      </c>
      <c r="X188" s="338">
        <f t="shared" si="258"/>
        <v>0.14958254577937263</v>
      </c>
      <c r="Y188" s="338">
        <f t="shared" si="259"/>
        <v>5.3696298484902987E-3</v>
      </c>
      <c r="Z188" s="338">
        <f t="shared" si="260"/>
        <v>0.52008700532520324</v>
      </c>
      <c r="AA188" s="199">
        <v>9</v>
      </c>
      <c r="AB188" s="176">
        <v>27</v>
      </c>
      <c r="AC188" s="177">
        <v>1</v>
      </c>
      <c r="AD188" s="238">
        <f t="shared" si="261"/>
        <v>5.6979647239917407E-2</v>
      </c>
      <c r="AE188" s="238">
        <f t="shared" si="262"/>
        <v>0.71011033111584021</v>
      </c>
      <c r="AF188" s="238">
        <f t="shared" si="263"/>
        <v>0.76708997835575699</v>
      </c>
      <c r="AG188" s="256">
        <f>M188*VLOOKUP($AA188,'SKOR PPH'!$B$13:$D$21,3,FALSE)</f>
        <v>9.1624640273320956E-2</v>
      </c>
      <c r="AH188" s="238">
        <f>N188*VLOOKUP($AA188,'SKOR PPH'!$B$13:$D$21,3,FALSE)</f>
        <v>1.3535458222195139E-2</v>
      </c>
      <c r="AI188" s="238">
        <f>O188*VLOOKUP($AA188,'SKOR PPH'!$B$13:$D$21,3,FALSE)</f>
        <v>4.8588824387367166E-4</v>
      </c>
      <c r="AJ188" s="238">
        <f>P188*VLOOKUP($AA188,'SKOR PPH'!$B$13:$D$21,3,FALSE)</f>
        <v>4.7061747049478478E-2</v>
      </c>
      <c r="AK188" s="238">
        <f>$AD188*VLOOKUP($AA188,'SKOR PPH'!$B$13:$D$21,3,FALSE)</f>
        <v>6.9412606267667376E-2</v>
      </c>
      <c r="AL188" s="256">
        <f>R188*VLOOKUP($AA188,'SKOR PPH'!$B$13:$D$21,3,FALSE)</f>
        <v>1.141874455082218</v>
      </c>
      <c r="AM188" s="238">
        <f>S188*VLOOKUP($AA188,'SKOR PPH'!$B$13:$D$21,3,FALSE)</f>
        <v>0.16868599904623674</v>
      </c>
      <c r="AN188" s="238">
        <f>T188*VLOOKUP($AA188,'SKOR PPH'!$B$13:$D$21,3,FALSE)</f>
        <v>6.0553948375572158E-3</v>
      </c>
      <c r="AO188" s="238">
        <f>U188*VLOOKUP($AA188,'SKOR PPH'!$B$13:$D$21,3,FALSE)</f>
        <v>0.58650824283768466</v>
      </c>
      <c r="AP188" s="238">
        <f>$AE188*VLOOKUP($AA188,'SKOR PPH'!$B$13:$D$21,3,FALSE)</f>
        <v>0.86505640536531647</v>
      </c>
      <c r="AQ188" s="256">
        <f>W188*VLOOKUP($AA188,'SKOR PPH'!$B$13:$D$21,3,FALSE)</f>
        <v>1.2334990953555376</v>
      </c>
      <c r="AR188" s="238">
        <f>X188*VLOOKUP($AA188,'SKOR PPH'!$B$13:$D$21,3,FALSE)</f>
        <v>0.18222145726843172</v>
      </c>
      <c r="AS188" s="238">
        <f>Y188*VLOOKUP($AA188,'SKOR PPH'!$B$13:$D$21,3,FALSE)</f>
        <v>6.5412830814308813E-3</v>
      </c>
      <c r="AT188" s="238">
        <f>Z188*VLOOKUP($AA188,'SKOR PPH'!$B$13:$D$21,3,FALSE)</f>
        <v>0.63356998988716262</v>
      </c>
      <c r="AU188" s="238">
        <f>$AF188*VLOOKUP($AA188,'SKOR PPH'!$B$13:$D$21,3,FALSE)</f>
        <v>0.93446901163298313</v>
      </c>
    </row>
    <row r="189" spans="2:48" ht="15" customHeight="1" x14ac:dyDescent="0.2">
      <c r="B189" s="199" t="s">
        <v>477</v>
      </c>
      <c r="C189" s="207">
        <v>2</v>
      </c>
      <c r="D189" s="149"/>
      <c r="E189" s="243"/>
      <c r="F189" s="149">
        <f>($C$188-$C$189)/$C$188*F188</f>
        <v>0.68599999999999994</v>
      </c>
      <c r="G189" s="149">
        <f>($C$188-$C$189)/$C$188*G188</f>
        <v>66.444000000000003</v>
      </c>
      <c r="H189" s="208" t="s">
        <v>478</v>
      </c>
      <c r="I189" s="311">
        <v>0.15739643101893402</v>
      </c>
      <c r="J189" s="311">
        <v>0.50658725998544829</v>
      </c>
      <c r="K189" s="311">
        <v>0.66398369100438237</v>
      </c>
      <c r="L189" s="144">
        <f>$I189*C189/7</f>
        <v>4.4970408862552581E-2</v>
      </c>
      <c r="M189" s="144">
        <f t="shared" ref="M189" si="264">$I189*D189/7</f>
        <v>0</v>
      </c>
      <c r="N189" s="144">
        <f t="shared" ref="N189" si="265">$I189*E189/7</f>
        <v>0</v>
      </c>
      <c r="O189" s="144">
        <f t="shared" ref="O189" si="266">$I189*F189/7</f>
        <v>1.5424850239855532E-2</v>
      </c>
      <c r="P189" s="144">
        <f t="shared" ref="P189" si="267">$I189*G189/7</f>
        <v>1.4940069232317217</v>
      </c>
      <c r="Q189" s="144">
        <f t="shared" ref="Q189" si="268">$J189*C189/7</f>
        <v>0.1447392171386995</v>
      </c>
      <c r="R189" s="144">
        <f t="shared" ref="R189" si="269">$J189*D189/7</f>
        <v>0</v>
      </c>
      <c r="S189" s="144">
        <f t="shared" ref="S189" si="270">$J189*E189/7</f>
        <v>0</v>
      </c>
      <c r="T189" s="144">
        <f t="shared" ref="T189" si="271">$J189*F189/7</f>
        <v>4.9645551478573927E-2</v>
      </c>
      <c r="U189" s="144">
        <f t="shared" ref="U189" si="272">$J189*G189/7</f>
        <v>4.8085262717818749</v>
      </c>
      <c r="V189" s="338">
        <f t="shared" ref="V189" si="273">$K189*C189/7</f>
        <v>0.1897096260012521</v>
      </c>
      <c r="W189" s="338">
        <f t="shared" ref="W189" si="274">$K189*D189/7</f>
        <v>0</v>
      </c>
      <c r="X189" s="338">
        <f t="shared" ref="X189" si="275">$K189*E189/7</f>
        <v>0</v>
      </c>
      <c r="Y189" s="338">
        <f t="shared" ref="Y189" si="276">$K189*F189/7</f>
        <v>6.5070401718429469E-2</v>
      </c>
      <c r="Z189" s="338">
        <f t="shared" ref="Z189" si="277">$K189*G189/7</f>
        <v>6.3025331950135977</v>
      </c>
      <c r="AA189" s="199"/>
      <c r="AB189" s="176"/>
      <c r="AC189" s="177"/>
      <c r="AD189" s="238"/>
      <c r="AE189" s="238"/>
      <c r="AF189" s="238"/>
      <c r="AG189" s="256"/>
      <c r="AH189" s="238"/>
      <c r="AI189" s="238"/>
      <c r="AJ189" s="238"/>
      <c r="AK189" s="238"/>
      <c r="AL189" s="256"/>
      <c r="AM189" s="238"/>
      <c r="AN189" s="238"/>
      <c r="AO189" s="238"/>
      <c r="AP189" s="238"/>
      <c r="AQ189" s="256"/>
      <c r="AR189" s="238"/>
      <c r="AS189" s="238"/>
      <c r="AT189" s="238"/>
      <c r="AU189" s="238"/>
    </row>
    <row r="190" spans="2:48" ht="15" customHeight="1" x14ac:dyDescent="0.2">
      <c r="B190" s="199" t="s">
        <v>262</v>
      </c>
      <c r="C190" s="207">
        <v>100</v>
      </c>
      <c r="D190" s="149">
        <v>352</v>
      </c>
      <c r="E190" s="243">
        <v>17.399999999999999</v>
      </c>
      <c r="F190" s="149">
        <v>1.3</v>
      </c>
      <c r="G190" s="261">
        <v>69</v>
      </c>
      <c r="H190" s="208" t="s">
        <v>36</v>
      </c>
      <c r="I190" s="311">
        <f>0.0255591816381105+0.0220864806751749</f>
        <v>4.7645662313285403E-2</v>
      </c>
      <c r="J190" s="311">
        <f>0.132487138013034+0.0726571186669517</f>
        <v>0.2051442566799857</v>
      </c>
      <c r="K190" s="311">
        <f>0.158046319651144+0.0947435993421266</f>
        <v>0.25278991899327058</v>
      </c>
      <c r="L190" s="144">
        <f t="shared" si="246"/>
        <v>0.68065231876122012</v>
      </c>
      <c r="M190" s="144">
        <f t="shared" si="247"/>
        <v>2.3958961620394947</v>
      </c>
      <c r="N190" s="144">
        <f t="shared" si="248"/>
        <v>0.11843350346445228</v>
      </c>
      <c r="O190" s="144">
        <f t="shared" si="249"/>
        <v>8.8484801438958611E-3</v>
      </c>
      <c r="P190" s="144">
        <f t="shared" si="250"/>
        <v>0.46965009994524187</v>
      </c>
      <c r="Q190" s="144">
        <f t="shared" si="251"/>
        <v>2.9306322382855101</v>
      </c>
      <c r="R190" s="144">
        <f t="shared" si="252"/>
        <v>10.315825478764996</v>
      </c>
      <c r="S190" s="144">
        <f t="shared" si="253"/>
        <v>0.50993000946167866</v>
      </c>
      <c r="T190" s="144">
        <f t="shared" si="254"/>
        <v>3.8098219097711626E-2</v>
      </c>
      <c r="U190" s="144">
        <f t="shared" si="255"/>
        <v>2.0221362444170019</v>
      </c>
      <c r="V190" s="338">
        <f t="shared" si="256"/>
        <v>3.6112845570467225</v>
      </c>
      <c r="W190" s="338">
        <f t="shared" si="257"/>
        <v>12.711721640804464</v>
      </c>
      <c r="X190" s="338">
        <f t="shared" si="258"/>
        <v>0.62836351292612969</v>
      </c>
      <c r="Y190" s="338">
        <f t="shared" si="259"/>
        <v>4.6946699241607395E-2</v>
      </c>
      <c r="Z190" s="338">
        <f t="shared" si="260"/>
        <v>2.4917863443622386</v>
      </c>
      <c r="AA190" s="199">
        <v>9</v>
      </c>
      <c r="AB190" s="176">
        <v>27</v>
      </c>
      <c r="AC190" s="177">
        <v>1</v>
      </c>
      <c r="AD190" s="238">
        <f t="shared" si="261"/>
        <v>0.68065231876122012</v>
      </c>
      <c r="AE190" s="238">
        <f t="shared" si="262"/>
        <v>2.9306322382855101</v>
      </c>
      <c r="AF190" s="238">
        <f t="shared" si="263"/>
        <v>3.6112845570467225</v>
      </c>
      <c r="AG190" s="256">
        <f>M190*VLOOKUP($AA190,'SKOR PPH'!$B$13:$D$21,3,FALSE)</f>
        <v>2.9186807045965124</v>
      </c>
      <c r="AH190" s="238">
        <f>N190*VLOOKUP($AA190,'SKOR PPH'!$B$13:$D$21,3,FALSE)</f>
        <v>0.14427569392039577</v>
      </c>
      <c r="AI190" s="238">
        <f>O190*VLOOKUP($AA190,'SKOR PPH'!$B$13:$D$21,3,FALSE)</f>
        <v>1.0779218511293938E-2</v>
      </c>
      <c r="AJ190" s="238">
        <f>P190*VLOOKUP($AA190,'SKOR PPH'!$B$13:$D$21,3,FALSE)</f>
        <v>0.57212775175329367</v>
      </c>
      <c r="AK190" s="238">
        <f>$AD190*VLOOKUP($AA190,'SKOR PPH'!$B$13:$D$21,3,FALSE)</f>
        <v>0.82917065471491835</v>
      </c>
      <c r="AL190" s="256">
        <f>R190*VLOOKUP($AA190,'SKOR PPH'!$B$13:$D$21,3,FALSE)</f>
        <v>12.566738598231517</v>
      </c>
      <c r="AM190" s="238">
        <f>S190*VLOOKUP($AA190,'SKOR PPH'!$B$13:$D$21,3,FALSE)</f>
        <v>0.62119673752621696</v>
      </c>
      <c r="AN190" s="238">
        <f>T190*VLOOKUP($AA190,'SKOR PPH'!$B$13:$D$21,3,FALSE)</f>
        <v>4.6411250504832302E-2</v>
      </c>
      <c r="AO190" s="238">
        <f>U190*VLOOKUP($AA190,'SKOR PPH'!$B$13:$D$21,3,FALSE)</f>
        <v>2.4633663729487916</v>
      </c>
      <c r="AP190" s="238">
        <f>$AE190*VLOOKUP($AA190,'SKOR PPH'!$B$13:$D$21,3,FALSE)</f>
        <v>3.5700961926794084</v>
      </c>
      <c r="AQ190" s="256">
        <f>W190*VLOOKUP($AA190,'SKOR PPH'!$B$13:$D$21,3,FALSE)</f>
        <v>15.485419302827998</v>
      </c>
      <c r="AR190" s="238">
        <f>X190*VLOOKUP($AA190,'SKOR PPH'!$B$13:$D$21,3,FALSE)</f>
        <v>0.76547243144661115</v>
      </c>
      <c r="AS190" s="238">
        <f>Y190*VLOOKUP($AA190,'SKOR PPH'!$B$13:$D$21,3,FALSE)</f>
        <v>5.7190469016126129E-2</v>
      </c>
      <c r="AT190" s="238">
        <f>Z190*VLOOKUP($AA190,'SKOR PPH'!$B$13:$D$21,3,FALSE)</f>
        <v>3.0354941247020788</v>
      </c>
      <c r="AU190" s="238">
        <f>$AF190*VLOOKUP($AA190,'SKOR PPH'!$B$13:$D$21,3,FALSE)</f>
        <v>4.3992668473943173</v>
      </c>
    </row>
    <row r="191" spans="2:48" ht="15" customHeight="1" x14ac:dyDescent="0.2">
      <c r="B191" s="199" t="s">
        <v>263</v>
      </c>
      <c r="C191" s="212">
        <v>150</v>
      </c>
      <c r="D191" s="149">
        <v>645</v>
      </c>
      <c r="E191" s="243">
        <v>16.52</v>
      </c>
      <c r="F191" s="149">
        <v>12</v>
      </c>
      <c r="G191" s="261">
        <v>112.5</v>
      </c>
      <c r="H191" s="208" t="s">
        <v>94</v>
      </c>
      <c r="I191" s="311">
        <v>0</v>
      </c>
      <c r="J191" s="311">
        <v>0</v>
      </c>
      <c r="K191" s="311">
        <v>0</v>
      </c>
      <c r="L191" s="144">
        <f t="shared" si="246"/>
        <v>0</v>
      </c>
      <c r="M191" s="144">
        <f t="shared" si="247"/>
        <v>0</v>
      </c>
      <c r="N191" s="144">
        <f t="shared" si="248"/>
        <v>0</v>
      </c>
      <c r="O191" s="144">
        <f t="shared" si="249"/>
        <v>0</v>
      </c>
      <c r="P191" s="144">
        <f t="shared" si="250"/>
        <v>0</v>
      </c>
      <c r="Q191" s="144">
        <f t="shared" si="251"/>
        <v>0</v>
      </c>
      <c r="R191" s="144">
        <f t="shared" si="252"/>
        <v>0</v>
      </c>
      <c r="S191" s="144">
        <f t="shared" si="253"/>
        <v>0</v>
      </c>
      <c r="T191" s="144">
        <f t="shared" si="254"/>
        <v>0</v>
      </c>
      <c r="U191" s="144">
        <f t="shared" si="255"/>
        <v>0</v>
      </c>
      <c r="V191" s="338">
        <f t="shared" si="256"/>
        <v>0</v>
      </c>
      <c r="W191" s="338">
        <f t="shared" si="257"/>
        <v>0</v>
      </c>
      <c r="X191" s="338">
        <f t="shared" si="258"/>
        <v>0</v>
      </c>
      <c r="Y191" s="338">
        <f t="shared" si="259"/>
        <v>0</v>
      </c>
      <c r="Z191" s="338">
        <f t="shared" si="260"/>
        <v>0</v>
      </c>
      <c r="AA191" s="199">
        <v>9</v>
      </c>
      <c r="AB191" s="176">
        <v>27</v>
      </c>
      <c r="AC191" s="177">
        <v>1</v>
      </c>
      <c r="AD191" s="238">
        <f t="shared" si="261"/>
        <v>0</v>
      </c>
      <c r="AE191" s="238">
        <f t="shared" si="262"/>
        <v>0</v>
      </c>
      <c r="AF191" s="238">
        <f t="shared" si="263"/>
        <v>0</v>
      </c>
      <c r="AG191" s="256">
        <f>M191*VLOOKUP($AA191,'SKOR PPH'!$B$13:$D$21,3,FALSE)</f>
        <v>0</v>
      </c>
      <c r="AH191" s="238">
        <f>N191*VLOOKUP($AA191,'SKOR PPH'!$B$13:$D$21,3,FALSE)</f>
        <v>0</v>
      </c>
      <c r="AI191" s="238">
        <f>O191*VLOOKUP($AA191,'SKOR PPH'!$B$13:$D$21,3,FALSE)</f>
        <v>0</v>
      </c>
      <c r="AJ191" s="238">
        <f>P191*VLOOKUP($AA191,'SKOR PPH'!$B$13:$D$21,3,FALSE)</f>
        <v>0</v>
      </c>
      <c r="AK191" s="238">
        <f>$AD191*VLOOKUP($AA191,'SKOR PPH'!$B$13:$D$21,3,FALSE)</f>
        <v>0</v>
      </c>
      <c r="AL191" s="256">
        <f>R191*VLOOKUP($AA191,'SKOR PPH'!$B$13:$D$21,3,FALSE)</f>
        <v>0</v>
      </c>
      <c r="AM191" s="238">
        <f>S191*VLOOKUP($AA191,'SKOR PPH'!$B$13:$D$21,3,FALSE)</f>
        <v>0</v>
      </c>
      <c r="AN191" s="238">
        <f>T191*VLOOKUP($AA191,'SKOR PPH'!$B$13:$D$21,3,FALSE)</f>
        <v>0</v>
      </c>
      <c r="AO191" s="238">
        <f>U191*VLOOKUP($AA191,'SKOR PPH'!$B$13:$D$21,3,FALSE)</f>
        <v>0</v>
      </c>
      <c r="AP191" s="238">
        <f>$AE191*VLOOKUP($AA191,'SKOR PPH'!$B$13:$D$21,3,FALSE)</f>
        <v>0</v>
      </c>
      <c r="AQ191" s="256">
        <f>W191*VLOOKUP($AA191,'SKOR PPH'!$B$13:$D$21,3,FALSE)</f>
        <v>0</v>
      </c>
      <c r="AR191" s="238">
        <f>X191*VLOOKUP($AA191,'SKOR PPH'!$B$13:$D$21,3,FALSE)</f>
        <v>0</v>
      </c>
      <c r="AS191" s="238">
        <f>Y191*VLOOKUP($AA191,'SKOR PPH'!$B$13:$D$21,3,FALSE)</f>
        <v>0</v>
      </c>
      <c r="AT191" s="238">
        <f>Z191*VLOOKUP($AA191,'SKOR PPH'!$B$13:$D$21,3,FALSE)</f>
        <v>0</v>
      </c>
      <c r="AU191" s="238">
        <f>$AF191*VLOOKUP($AA191,'SKOR PPH'!$B$13:$D$21,3,FALSE)</f>
        <v>0</v>
      </c>
    </row>
    <row r="192" spans="2:48" ht="15" customHeight="1" x14ac:dyDescent="0.2">
      <c r="B192" s="199" t="s">
        <v>264</v>
      </c>
      <c r="C192" s="212">
        <v>100</v>
      </c>
      <c r="D192" s="149">
        <v>298</v>
      </c>
      <c r="E192" s="243">
        <v>8</v>
      </c>
      <c r="F192" s="149">
        <v>23.8</v>
      </c>
      <c r="G192" s="261">
        <v>48.9</v>
      </c>
      <c r="H192" s="208" t="s">
        <v>36</v>
      </c>
      <c r="I192" s="311">
        <v>0</v>
      </c>
      <c r="J192" s="311">
        <v>0</v>
      </c>
      <c r="K192" s="311">
        <v>0</v>
      </c>
      <c r="L192" s="144">
        <f t="shared" si="246"/>
        <v>0</v>
      </c>
      <c r="M192" s="144">
        <f t="shared" si="247"/>
        <v>0</v>
      </c>
      <c r="N192" s="144">
        <f t="shared" si="248"/>
        <v>0</v>
      </c>
      <c r="O192" s="144">
        <f t="shared" si="249"/>
        <v>0</v>
      </c>
      <c r="P192" s="144">
        <f t="shared" si="250"/>
        <v>0</v>
      </c>
      <c r="Q192" s="144">
        <f t="shared" si="251"/>
        <v>0</v>
      </c>
      <c r="R192" s="144">
        <f t="shared" si="252"/>
        <v>0</v>
      </c>
      <c r="S192" s="144">
        <f t="shared" si="253"/>
        <v>0</v>
      </c>
      <c r="T192" s="144">
        <f t="shared" si="254"/>
        <v>0</v>
      </c>
      <c r="U192" s="144">
        <f t="shared" si="255"/>
        <v>0</v>
      </c>
      <c r="V192" s="338">
        <f t="shared" si="256"/>
        <v>0</v>
      </c>
      <c r="W192" s="338">
        <f t="shared" si="257"/>
        <v>0</v>
      </c>
      <c r="X192" s="338">
        <f t="shared" si="258"/>
        <v>0</v>
      </c>
      <c r="Y192" s="338">
        <f t="shared" si="259"/>
        <v>0</v>
      </c>
      <c r="Z192" s="338">
        <f t="shared" si="260"/>
        <v>0</v>
      </c>
      <c r="AA192" s="199">
        <v>9</v>
      </c>
      <c r="AB192" s="176">
        <v>27</v>
      </c>
      <c r="AC192" s="177">
        <v>1</v>
      </c>
      <c r="AD192" s="238">
        <f t="shared" si="261"/>
        <v>0</v>
      </c>
      <c r="AE192" s="238">
        <f t="shared" si="262"/>
        <v>0</v>
      </c>
      <c r="AF192" s="238">
        <f t="shared" si="263"/>
        <v>0</v>
      </c>
      <c r="AG192" s="256">
        <f>M192*VLOOKUP($AA192,'SKOR PPH'!$B$13:$D$21,3,FALSE)</f>
        <v>0</v>
      </c>
      <c r="AH192" s="238">
        <f>N192*VLOOKUP($AA192,'SKOR PPH'!$B$13:$D$21,3,FALSE)</f>
        <v>0</v>
      </c>
      <c r="AI192" s="238">
        <f>O192*VLOOKUP($AA192,'SKOR PPH'!$B$13:$D$21,3,FALSE)</f>
        <v>0</v>
      </c>
      <c r="AJ192" s="238">
        <f>P192*VLOOKUP($AA192,'SKOR PPH'!$B$13:$D$21,3,FALSE)</f>
        <v>0</v>
      </c>
      <c r="AK192" s="238">
        <f>$AD192*VLOOKUP($AA192,'SKOR PPH'!$B$13:$D$21,3,FALSE)</f>
        <v>0</v>
      </c>
      <c r="AL192" s="256">
        <f>R192*VLOOKUP($AA192,'SKOR PPH'!$B$13:$D$21,3,FALSE)</f>
        <v>0</v>
      </c>
      <c r="AM192" s="238">
        <f>S192*VLOOKUP($AA192,'SKOR PPH'!$B$13:$D$21,3,FALSE)</f>
        <v>0</v>
      </c>
      <c r="AN192" s="238">
        <f>T192*VLOOKUP($AA192,'SKOR PPH'!$B$13:$D$21,3,FALSE)</f>
        <v>0</v>
      </c>
      <c r="AO192" s="238">
        <f>U192*VLOOKUP($AA192,'SKOR PPH'!$B$13:$D$21,3,FALSE)</f>
        <v>0</v>
      </c>
      <c r="AP192" s="238">
        <f>$AE192*VLOOKUP($AA192,'SKOR PPH'!$B$13:$D$21,3,FALSE)</f>
        <v>0</v>
      </c>
      <c r="AQ192" s="256">
        <f>W192*VLOOKUP($AA192,'SKOR PPH'!$B$13:$D$21,3,FALSE)</f>
        <v>0</v>
      </c>
      <c r="AR192" s="238">
        <f>X192*VLOOKUP($AA192,'SKOR PPH'!$B$13:$D$21,3,FALSE)</f>
        <v>0</v>
      </c>
      <c r="AS192" s="238">
        <f>Y192*VLOOKUP($AA192,'SKOR PPH'!$B$13:$D$21,3,FALSE)</f>
        <v>0</v>
      </c>
      <c r="AT192" s="238">
        <f>Z192*VLOOKUP($AA192,'SKOR PPH'!$B$13:$D$21,3,FALSE)</f>
        <v>0</v>
      </c>
      <c r="AU192" s="238">
        <f>$AF192*VLOOKUP($AA192,'SKOR PPH'!$B$13:$D$21,3,FALSE)</f>
        <v>0</v>
      </c>
    </row>
    <row r="193" spans="2:47" ht="15" customHeight="1" x14ac:dyDescent="0.2">
      <c r="B193" s="199" t="s">
        <v>265</v>
      </c>
      <c r="C193" s="212">
        <f>620*1.04</f>
        <v>644.80000000000007</v>
      </c>
      <c r="D193" s="149">
        <v>1056.5</v>
      </c>
      <c r="E193" s="243">
        <v>0</v>
      </c>
      <c r="F193" s="149">
        <v>0</v>
      </c>
      <c r="G193" s="261">
        <v>272.8</v>
      </c>
      <c r="H193" s="208" t="s">
        <v>95</v>
      </c>
      <c r="I193" s="311">
        <v>0</v>
      </c>
      <c r="J193" s="311">
        <v>0</v>
      </c>
      <c r="K193" s="311">
        <v>0</v>
      </c>
      <c r="L193" s="144">
        <f t="shared" si="246"/>
        <v>0</v>
      </c>
      <c r="M193" s="144">
        <f t="shared" si="247"/>
        <v>0</v>
      </c>
      <c r="N193" s="144">
        <f t="shared" si="248"/>
        <v>0</v>
      </c>
      <c r="O193" s="144">
        <f t="shared" si="249"/>
        <v>0</v>
      </c>
      <c r="P193" s="144">
        <f t="shared" si="250"/>
        <v>0</v>
      </c>
      <c r="Q193" s="144">
        <f t="shared" si="251"/>
        <v>0</v>
      </c>
      <c r="R193" s="144">
        <f t="shared" si="252"/>
        <v>0</v>
      </c>
      <c r="S193" s="144">
        <f t="shared" si="253"/>
        <v>0</v>
      </c>
      <c r="T193" s="144">
        <f t="shared" si="254"/>
        <v>0</v>
      </c>
      <c r="U193" s="144">
        <f t="shared" si="255"/>
        <v>0</v>
      </c>
      <c r="V193" s="338">
        <f t="shared" si="256"/>
        <v>0</v>
      </c>
      <c r="W193" s="338">
        <f t="shared" si="257"/>
        <v>0</v>
      </c>
      <c r="X193" s="338">
        <f t="shared" si="258"/>
        <v>0</v>
      </c>
      <c r="Y193" s="338">
        <f t="shared" si="259"/>
        <v>0</v>
      </c>
      <c r="Z193" s="338">
        <f t="shared" si="260"/>
        <v>0</v>
      </c>
      <c r="AA193" s="214">
        <v>9</v>
      </c>
      <c r="AB193" s="176">
        <v>27</v>
      </c>
      <c r="AC193" s="177">
        <v>1</v>
      </c>
      <c r="AD193" s="238">
        <f t="shared" si="261"/>
        <v>0</v>
      </c>
      <c r="AE193" s="238">
        <f t="shared" si="262"/>
        <v>0</v>
      </c>
      <c r="AF193" s="238">
        <f t="shared" si="263"/>
        <v>0</v>
      </c>
      <c r="AG193" s="256">
        <f>M193*VLOOKUP($AA193,'SKOR PPH'!$B$13:$D$21,3,FALSE)</f>
        <v>0</v>
      </c>
      <c r="AH193" s="238">
        <f>N193*VLOOKUP($AA193,'SKOR PPH'!$B$13:$D$21,3,FALSE)</f>
        <v>0</v>
      </c>
      <c r="AI193" s="238">
        <f>O193*VLOOKUP($AA193,'SKOR PPH'!$B$13:$D$21,3,FALSE)</f>
        <v>0</v>
      </c>
      <c r="AJ193" s="238">
        <f>P193*VLOOKUP($AA193,'SKOR PPH'!$B$13:$D$21,3,FALSE)</f>
        <v>0</v>
      </c>
      <c r="AK193" s="238">
        <f>$AD193*VLOOKUP($AA193,'SKOR PPH'!$B$13:$D$21,3,FALSE)</f>
        <v>0</v>
      </c>
      <c r="AL193" s="256">
        <f>R193*VLOOKUP($AA193,'SKOR PPH'!$B$13:$D$21,3,FALSE)</f>
        <v>0</v>
      </c>
      <c r="AM193" s="238">
        <f>S193*VLOOKUP($AA193,'SKOR PPH'!$B$13:$D$21,3,FALSE)</f>
        <v>0</v>
      </c>
      <c r="AN193" s="238">
        <f>T193*VLOOKUP($AA193,'SKOR PPH'!$B$13:$D$21,3,FALSE)</f>
        <v>0</v>
      </c>
      <c r="AO193" s="238">
        <f>U193*VLOOKUP($AA193,'SKOR PPH'!$B$13:$D$21,3,FALSE)</f>
        <v>0</v>
      </c>
      <c r="AP193" s="238">
        <f>$AE193*VLOOKUP($AA193,'SKOR PPH'!$B$13:$D$21,3,FALSE)</f>
        <v>0</v>
      </c>
      <c r="AQ193" s="256">
        <f>W193*VLOOKUP($AA193,'SKOR PPH'!$B$13:$D$21,3,FALSE)</f>
        <v>0</v>
      </c>
      <c r="AR193" s="238">
        <f>X193*VLOOKUP($AA193,'SKOR PPH'!$B$13:$D$21,3,FALSE)</f>
        <v>0</v>
      </c>
      <c r="AS193" s="238">
        <f>Y193*VLOOKUP($AA193,'SKOR PPH'!$B$13:$D$21,3,FALSE)</f>
        <v>0</v>
      </c>
      <c r="AT193" s="238">
        <f>Z193*VLOOKUP($AA193,'SKOR PPH'!$B$13:$D$21,3,FALSE)</f>
        <v>0</v>
      </c>
      <c r="AU193" s="238">
        <f>$AF193*VLOOKUP($AA193,'SKOR PPH'!$B$13:$D$21,3,FALSE)</f>
        <v>0</v>
      </c>
    </row>
    <row r="194" spans="2:47" ht="15" customHeight="1" x14ac:dyDescent="0.2">
      <c r="B194" s="199" t="s">
        <v>266</v>
      </c>
      <c r="C194" s="212">
        <v>0</v>
      </c>
      <c r="D194" s="149">
        <v>0</v>
      </c>
      <c r="E194" s="243">
        <v>0</v>
      </c>
      <c r="F194" s="149">
        <v>0</v>
      </c>
      <c r="G194" s="261">
        <v>0</v>
      </c>
      <c r="H194" s="208" t="s">
        <v>0</v>
      </c>
      <c r="I194" s="311">
        <v>0</v>
      </c>
      <c r="J194" s="311">
        <v>0</v>
      </c>
      <c r="K194" s="311">
        <v>0</v>
      </c>
      <c r="L194" s="144">
        <f t="shared" si="246"/>
        <v>0</v>
      </c>
      <c r="M194" s="144">
        <f t="shared" si="247"/>
        <v>0</v>
      </c>
      <c r="N194" s="144">
        <f t="shared" si="248"/>
        <v>0</v>
      </c>
      <c r="O194" s="144">
        <f t="shared" si="249"/>
        <v>0</v>
      </c>
      <c r="P194" s="144">
        <f t="shared" si="250"/>
        <v>0</v>
      </c>
      <c r="Q194" s="144">
        <f t="shared" si="251"/>
        <v>0</v>
      </c>
      <c r="R194" s="144">
        <f t="shared" si="252"/>
        <v>0</v>
      </c>
      <c r="S194" s="144">
        <f t="shared" si="253"/>
        <v>0</v>
      </c>
      <c r="T194" s="144">
        <f t="shared" si="254"/>
        <v>0</v>
      </c>
      <c r="U194" s="144">
        <f t="shared" si="255"/>
        <v>0</v>
      </c>
      <c r="V194" s="338">
        <f t="shared" si="256"/>
        <v>0</v>
      </c>
      <c r="W194" s="338">
        <f t="shared" si="257"/>
        <v>0</v>
      </c>
      <c r="X194" s="338">
        <f t="shared" si="258"/>
        <v>0</v>
      </c>
      <c r="Y194" s="338">
        <f t="shared" si="259"/>
        <v>0</v>
      </c>
      <c r="Z194" s="338">
        <f t="shared" si="260"/>
        <v>0</v>
      </c>
      <c r="AA194" s="214">
        <v>9</v>
      </c>
      <c r="AB194" s="176">
        <v>27</v>
      </c>
      <c r="AC194" s="177">
        <v>1</v>
      </c>
      <c r="AD194" s="238">
        <f t="shared" si="261"/>
        <v>0</v>
      </c>
      <c r="AE194" s="238">
        <f t="shared" si="262"/>
        <v>0</v>
      </c>
      <c r="AF194" s="238">
        <f t="shared" si="263"/>
        <v>0</v>
      </c>
      <c r="AG194" s="256">
        <f>M194*VLOOKUP($AA194,'SKOR PPH'!$B$13:$D$21,3,FALSE)</f>
        <v>0</v>
      </c>
      <c r="AH194" s="238">
        <f>N194*VLOOKUP($AA194,'SKOR PPH'!$B$13:$D$21,3,FALSE)</f>
        <v>0</v>
      </c>
      <c r="AI194" s="238">
        <f>O194*VLOOKUP($AA194,'SKOR PPH'!$B$13:$D$21,3,FALSE)</f>
        <v>0</v>
      </c>
      <c r="AJ194" s="238">
        <f>P194*VLOOKUP($AA194,'SKOR PPH'!$B$13:$D$21,3,FALSE)</f>
        <v>0</v>
      </c>
      <c r="AK194" s="238">
        <f>$AD194*VLOOKUP($AA194,'SKOR PPH'!$B$13:$D$21,3,FALSE)</f>
        <v>0</v>
      </c>
      <c r="AL194" s="256">
        <f>R194*VLOOKUP($AA194,'SKOR PPH'!$B$13:$D$21,3,FALSE)</f>
        <v>0</v>
      </c>
      <c r="AM194" s="238">
        <f>S194*VLOOKUP($AA194,'SKOR PPH'!$B$13:$D$21,3,FALSE)</f>
        <v>0</v>
      </c>
      <c r="AN194" s="238">
        <f>T194*VLOOKUP($AA194,'SKOR PPH'!$B$13:$D$21,3,FALSE)</f>
        <v>0</v>
      </c>
      <c r="AO194" s="238">
        <f>U194*VLOOKUP($AA194,'SKOR PPH'!$B$13:$D$21,3,FALSE)</f>
        <v>0</v>
      </c>
      <c r="AP194" s="238">
        <f>$AE194*VLOOKUP($AA194,'SKOR PPH'!$B$13:$D$21,3,FALSE)</f>
        <v>0</v>
      </c>
      <c r="AQ194" s="256">
        <f>W194*VLOOKUP($AA194,'SKOR PPH'!$B$13:$D$21,3,FALSE)</f>
        <v>0</v>
      </c>
      <c r="AR194" s="238">
        <f>X194*VLOOKUP($AA194,'SKOR PPH'!$B$13:$D$21,3,FALSE)</f>
        <v>0</v>
      </c>
      <c r="AS194" s="238">
        <f>Y194*VLOOKUP($AA194,'SKOR PPH'!$B$13:$D$21,3,FALSE)</f>
        <v>0</v>
      </c>
      <c r="AT194" s="238">
        <f>Z194*VLOOKUP($AA194,'SKOR PPH'!$B$13:$D$21,3,FALSE)</f>
        <v>0</v>
      </c>
      <c r="AU194" s="238">
        <f>$AF194*VLOOKUP($AA194,'SKOR PPH'!$B$13:$D$21,3,FALSE)</f>
        <v>0</v>
      </c>
    </row>
    <row r="195" spans="2:47" ht="15" customHeight="1" x14ac:dyDescent="0.2">
      <c r="B195" s="211" t="s">
        <v>96</v>
      </c>
      <c r="C195" s="187"/>
      <c r="D195" s="188"/>
      <c r="E195" s="248"/>
      <c r="F195" s="188"/>
      <c r="G195" s="188"/>
      <c r="H195" s="267"/>
      <c r="I195" s="317"/>
      <c r="J195" s="317"/>
      <c r="K195" s="317"/>
      <c r="L195" s="127"/>
      <c r="M195" s="182"/>
      <c r="N195" s="127"/>
      <c r="O195" s="189"/>
      <c r="P195" s="189"/>
      <c r="Q195" s="127"/>
      <c r="R195" s="182"/>
      <c r="S195" s="127"/>
      <c r="T195" s="189"/>
      <c r="U195" s="189"/>
      <c r="V195" s="127"/>
      <c r="W195" s="182"/>
      <c r="X195" s="127"/>
      <c r="Y195" s="189"/>
      <c r="Z195" s="189"/>
      <c r="AA195" s="190"/>
      <c r="AB195" s="190"/>
      <c r="AC195" s="191"/>
      <c r="AD195" s="236"/>
      <c r="AE195" s="236"/>
      <c r="AF195" s="236"/>
      <c r="AG195" s="236"/>
      <c r="AH195" s="236"/>
      <c r="AI195" s="236"/>
      <c r="AJ195" s="236"/>
      <c r="AK195" s="236"/>
      <c r="AL195" s="236"/>
      <c r="AM195" s="236"/>
      <c r="AN195" s="236"/>
      <c r="AO195" s="236"/>
      <c r="AP195" s="236"/>
      <c r="AQ195" s="236"/>
      <c r="AR195" s="236"/>
      <c r="AS195" s="236"/>
      <c r="AT195" s="236"/>
      <c r="AU195" s="236"/>
    </row>
    <row r="196" spans="2:47" ht="15" customHeight="1" x14ac:dyDescent="0.2">
      <c r="B196" s="186" t="s">
        <v>97</v>
      </c>
      <c r="C196" s="187"/>
      <c r="D196" s="188"/>
      <c r="E196" s="248"/>
      <c r="F196" s="188"/>
      <c r="G196" s="188"/>
      <c r="H196" s="267"/>
      <c r="I196" s="314"/>
      <c r="J196" s="314"/>
      <c r="K196" s="314"/>
      <c r="L196" s="170"/>
      <c r="M196" s="170"/>
      <c r="N196" s="170"/>
      <c r="O196" s="171"/>
      <c r="P196" s="171"/>
      <c r="Q196" s="170"/>
      <c r="R196" s="170"/>
      <c r="S196" s="170"/>
      <c r="T196" s="171"/>
      <c r="U196" s="171"/>
      <c r="V196" s="170"/>
      <c r="W196" s="170"/>
      <c r="X196" s="170"/>
      <c r="Y196" s="171"/>
      <c r="Z196" s="171"/>
      <c r="AA196" s="190"/>
      <c r="AB196" s="190"/>
      <c r="AC196" s="191"/>
      <c r="AD196" s="236"/>
      <c r="AE196" s="236"/>
      <c r="AF196" s="236"/>
      <c r="AG196" s="236"/>
      <c r="AH196" s="236"/>
      <c r="AI196" s="236"/>
      <c r="AJ196" s="236"/>
      <c r="AK196" s="236"/>
      <c r="AL196" s="236"/>
      <c r="AM196" s="236"/>
      <c r="AN196" s="236"/>
      <c r="AO196" s="236"/>
      <c r="AP196" s="236"/>
      <c r="AQ196" s="236"/>
      <c r="AR196" s="236"/>
      <c r="AS196" s="236"/>
      <c r="AT196" s="236"/>
      <c r="AU196" s="236"/>
    </row>
    <row r="197" spans="2:47" ht="15" customHeight="1" x14ac:dyDescent="0.2">
      <c r="B197" s="199" t="s">
        <v>98</v>
      </c>
      <c r="C197" s="207">
        <v>100</v>
      </c>
      <c r="D197" s="149">
        <v>0</v>
      </c>
      <c r="E197" s="243">
        <v>0</v>
      </c>
      <c r="F197" s="149">
        <v>0</v>
      </c>
      <c r="G197" s="261">
        <v>0</v>
      </c>
      <c r="H197" s="208" t="s">
        <v>36</v>
      </c>
      <c r="I197" s="311">
        <v>2.9471859231158528</v>
      </c>
      <c r="J197" s="311">
        <v>26.446469962467919</v>
      </c>
      <c r="K197" s="311">
        <v>29.393655885583755</v>
      </c>
      <c r="L197" s="144">
        <f t="shared" ref="L197:L209" si="278">$I197*C197/7</f>
        <v>42.10265604451218</v>
      </c>
      <c r="M197" s="144">
        <f t="shared" ref="M197:M209" si="279">$I197*D197/7</f>
        <v>0</v>
      </c>
      <c r="N197" s="144">
        <f t="shared" ref="N197:N209" si="280">$I197*E197/7</f>
        <v>0</v>
      </c>
      <c r="O197" s="144">
        <f t="shared" ref="O197:O209" si="281">$I197*F197/7</f>
        <v>0</v>
      </c>
      <c r="P197" s="144">
        <f t="shared" ref="P197:P209" si="282">$I197*G197/7</f>
        <v>0</v>
      </c>
      <c r="Q197" s="144">
        <f t="shared" ref="Q197:Q209" si="283">$J197*C197/7</f>
        <v>377.8067137495417</v>
      </c>
      <c r="R197" s="144">
        <f t="shared" ref="R197:R209" si="284">$J197*D197/7</f>
        <v>0</v>
      </c>
      <c r="S197" s="144">
        <f t="shared" ref="S197:S209" si="285">$J197*E197/7</f>
        <v>0</v>
      </c>
      <c r="T197" s="144">
        <f t="shared" ref="T197:T209" si="286">$J197*F197/7</f>
        <v>0</v>
      </c>
      <c r="U197" s="144">
        <f t="shared" ref="U197:U209" si="287">$J197*G197/7</f>
        <v>0</v>
      </c>
      <c r="V197" s="338">
        <f t="shared" ref="V197:V209" si="288">$K197*C197/7</f>
        <v>419.90936979405359</v>
      </c>
      <c r="W197" s="338">
        <f t="shared" ref="W197:W209" si="289">$K197*D197/7</f>
        <v>0</v>
      </c>
      <c r="X197" s="338">
        <f t="shared" ref="X197:X209" si="290">$K197*E197/7</f>
        <v>0</v>
      </c>
      <c r="Y197" s="338">
        <f t="shared" ref="Y197:Y209" si="291">$K197*F197/7</f>
        <v>0</v>
      </c>
      <c r="Z197" s="338">
        <f t="shared" ref="Z197:Z209" si="292">$K197*G197/7</f>
        <v>0</v>
      </c>
      <c r="AA197" s="199">
        <v>9</v>
      </c>
      <c r="AB197" s="176">
        <v>28</v>
      </c>
      <c r="AC197" s="177">
        <v>1</v>
      </c>
      <c r="AD197" s="238">
        <f t="shared" ref="AD197:AD209" si="293">$L197*$AC197</f>
        <v>42.10265604451218</v>
      </c>
      <c r="AE197" s="238">
        <f t="shared" ref="AE197:AE209" si="294">$Q197*$AC197</f>
        <v>377.8067137495417</v>
      </c>
      <c r="AF197" s="238">
        <f t="shared" ref="AF197:AF209" si="295">$V197*$AC197</f>
        <v>419.90936979405359</v>
      </c>
      <c r="AG197" s="238">
        <f>M197*VLOOKUP($AA197,'SKOR PPH'!$B$13:$D$21,3,FALSE)</f>
        <v>0</v>
      </c>
      <c r="AH197" s="238">
        <f>N197*VLOOKUP($AA197,'SKOR PPH'!$B$13:$D$21,3,FALSE)</f>
        <v>0</v>
      </c>
      <c r="AI197" s="238">
        <f>O197*VLOOKUP($AA197,'SKOR PPH'!$B$13:$D$21,3,FALSE)</f>
        <v>0</v>
      </c>
      <c r="AJ197" s="238">
        <f>P197*VLOOKUP($AA197,'SKOR PPH'!$B$13:$D$21,3,FALSE)</f>
        <v>0</v>
      </c>
      <c r="AK197" s="238">
        <f>$AD197*VLOOKUP($AA197,'SKOR PPH'!$B$13:$D$21,3,FALSE)</f>
        <v>51.289455593424734</v>
      </c>
      <c r="AL197" s="238">
        <f>R197*VLOOKUP($AA197,'SKOR PPH'!$B$13:$D$21,3,FALSE)</f>
        <v>0</v>
      </c>
      <c r="AM197" s="238">
        <f>S197*VLOOKUP($AA197,'SKOR PPH'!$B$13:$D$21,3,FALSE)</f>
        <v>0</v>
      </c>
      <c r="AN197" s="238">
        <f>T197*VLOOKUP($AA197,'SKOR PPH'!$B$13:$D$21,3,FALSE)</f>
        <v>0</v>
      </c>
      <c r="AO197" s="238">
        <f>U197*VLOOKUP($AA197,'SKOR PPH'!$B$13:$D$21,3,FALSE)</f>
        <v>0</v>
      </c>
      <c r="AP197" s="238">
        <f>$AE197*VLOOKUP($AA197,'SKOR PPH'!$B$13:$D$21,3,FALSE)</f>
        <v>460.24413868969168</v>
      </c>
      <c r="AQ197" s="238">
        <f>W197*VLOOKUP($AA197,'SKOR PPH'!$B$13:$D$21,3,FALSE)</f>
        <v>0</v>
      </c>
      <c r="AR197" s="238">
        <f>X197*VLOOKUP($AA197,'SKOR PPH'!$B$13:$D$21,3,FALSE)</f>
        <v>0</v>
      </c>
      <c r="AS197" s="238">
        <f>Y197*VLOOKUP($AA197,'SKOR PPH'!$B$13:$D$21,3,FALSE)</f>
        <v>0</v>
      </c>
      <c r="AT197" s="238">
        <f>Z197*VLOOKUP($AA197,'SKOR PPH'!$B$13:$D$21,3,FALSE)</f>
        <v>0</v>
      </c>
      <c r="AU197" s="238">
        <f>$AF197*VLOOKUP($AA197,'SKOR PPH'!$B$13:$D$21,3,FALSE)</f>
        <v>511.53359428311609</v>
      </c>
    </row>
    <row r="198" spans="2:47" ht="15" customHeight="1" x14ac:dyDescent="0.2">
      <c r="B198" s="199" t="s">
        <v>99</v>
      </c>
      <c r="C198" s="207">
        <v>100</v>
      </c>
      <c r="D198" s="149">
        <v>636</v>
      </c>
      <c r="E198" s="243">
        <v>19</v>
      </c>
      <c r="F198" s="149">
        <v>63</v>
      </c>
      <c r="G198" s="261">
        <v>8</v>
      </c>
      <c r="H198" s="208" t="s">
        <v>36</v>
      </c>
      <c r="I198" s="311">
        <v>4.6028798456121803E-2</v>
      </c>
      <c r="J198" s="311">
        <v>0.13220769509886632</v>
      </c>
      <c r="K198" s="311">
        <v>0.17823649355498813</v>
      </c>
      <c r="L198" s="144">
        <f t="shared" si="278"/>
        <v>0.65755426365888281</v>
      </c>
      <c r="M198" s="144">
        <f t="shared" si="279"/>
        <v>4.1820451168704951</v>
      </c>
      <c r="N198" s="144">
        <f t="shared" si="280"/>
        <v>0.12493531009518775</v>
      </c>
      <c r="O198" s="144">
        <f t="shared" si="281"/>
        <v>0.41425918610509621</v>
      </c>
      <c r="P198" s="144">
        <f t="shared" si="282"/>
        <v>5.260434109271063E-2</v>
      </c>
      <c r="Q198" s="144">
        <f t="shared" si="283"/>
        <v>1.8886813585552331</v>
      </c>
      <c r="R198" s="144">
        <f t="shared" si="284"/>
        <v>12.012013440411282</v>
      </c>
      <c r="S198" s="144">
        <f t="shared" si="285"/>
        <v>0.35884945812549429</v>
      </c>
      <c r="T198" s="144">
        <f t="shared" si="286"/>
        <v>1.1898692558897968</v>
      </c>
      <c r="U198" s="144">
        <f t="shared" si="287"/>
        <v>0.15109450868441865</v>
      </c>
      <c r="V198" s="338">
        <f t="shared" si="288"/>
        <v>2.546235622214116</v>
      </c>
      <c r="W198" s="338">
        <f t="shared" si="289"/>
        <v>16.194058557281778</v>
      </c>
      <c r="X198" s="338">
        <f t="shared" si="290"/>
        <v>0.48378476822068212</v>
      </c>
      <c r="Y198" s="338">
        <f t="shared" si="291"/>
        <v>1.6041284419948931</v>
      </c>
      <c r="Z198" s="338">
        <f t="shared" si="292"/>
        <v>0.20369884977712929</v>
      </c>
      <c r="AA198" s="199">
        <v>5</v>
      </c>
      <c r="AB198" s="176">
        <v>18</v>
      </c>
      <c r="AC198" s="177">
        <v>1</v>
      </c>
      <c r="AD198" s="238">
        <f t="shared" si="293"/>
        <v>0.65755426365888281</v>
      </c>
      <c r="AE198" s="238">
        <f t="shared" si="294"/>
        <v>1.8886813585552331</v>
      </c>
      <c r="AF198" s="238">
        <f t="shared" si="295"/>
        <v>2.546235622214116</v>
      </c>
      <c r="AG198" s="238">
        <f>M198*VLOOKUP($AA198,'SKOR PPH'!$B$13:$D$21,3,FALSE)</f>
        <v>5.8766097982264194</v>
      </c>
      <c r="AH198" s="238">
        <f>N198*VLOOKUP($AA198,'SKOR PPH'!$B$13:$D$21,3,FALSE)</f>
        <v>0.17555909774575784</v>
      </c>
      <c r="AI198" s="238">
        <f>O198*VLOOKUP($AA198,'SKOR PPH'!$B$13:$D$21,3,FALSE)</f>
        <v>0.58211700831488122</v>
      </c>
      <c r="AJ198" s="238">
        <f>P198*VLOOKUP($AA198,'SKOR PPH'!$B$13:$D$21,3,FALSE)</f>
        <v>7.3919620103476982E-2</v>
      </c>
      <c r="AK198" s="238">
        <f>$AD198*VLOOKUP($AA198,'SKOR PPH'!$B$13:$D$21,3,FALSE)</f>
        <v>0.92399525129346216</v>
      </c>
      <c r="AL198" s="238">
        <f>R198*VLOOKUP($AA198,'SKOR PPH'!$B$13:$D$21,3,FALSE)</f>
        <v>16.879281286465933</v>
      </c>
      <c r="AM198" s="238">
        <f>S198*VLOOKUP($AA198,'SKOR PPH'!$B$13:$D$21,3,FALSE)</f>
        <v>0.50425525855794462</v>
      </c>
      <c r="AN198" s="238">
        <f>T198*VLOOKUP($AA198,'SKOR PPH'!$B$13:$D$21,3,FALSE)</f>
        <v>1.6720042783763425</v>
      </c>
      <c r="AO198" s="238">
        <f>U198*VLOOKUP($AA198,'SKOR PPH'!$B$13:$D$21,3,FALSE)</f>
        <v>0.21231800360334507</v>
      </c>
      <c r="AP198" s="238">
        <f>$AE198*VLOOKUP($AA198,'SKOR PPH'!$B$13:$D$21,3,FALSE)</f>
        <v>2.6539750450418134</v>
      </c>
      <c r="AQ198" s="238">
        <f>W198*VLOOKUP($AA198,'SKOR PPH'!$B$13:$D$21,3,FALSE)</f>
        <v>22.755891084692355</v>
      </c>
      <c r="AR198" s="238">
        <f>X198*VLOOKUP($AA198,'SKOR PPH'!$B$13:$D$21,3,FALSE)</f>
        <v>0.67981435630370246</v>
      </c>
      <c r="AS198" s="238">
        <f>Y198*VLOOKUP($AA198,'SKOR PPH'!$B$13:$D$21,3,FALSE)</f>
        <v>2.2541212866912237</v>
      </c>
      <c r="AT198" s="238">
        <f>Z198*VLOOKUP($AA198,'SKOR PPH'!$B$13:$D$21,3,FALSE)</f>
        <v>0.2862376237068221</v>
      </c>
      <c r="AU198" s="238">
        <f>$AF198*VLOOKUP($AA198,'SKOR PPH'!$B$13:$D$21,3,FALSE)</f>
        <v>3.577970296335276</v>
      </c>
    </row>
    <row r="199" spans="2:47" ht="15" customHeight="1" x14ac:dyDescent="0.2">
      <c r="B199" s="199" t="s">
        <v>100</v>
      </c>
      <c r="C199" s="207">
        <v>100</v>
      </c>
      <c r="D199" s="149">
        <v>404</v>
      </c>
      <c r="E199" s="243">
        <v>14.1</v>
      </c>
      <c r="F199" s="149">
        <v>16.100000000000001</v>
      </c>
      <c r="G199" s="261">
        <v>54.2</v>
      </c>
      <c r="H199" s="208" t="s">
        <v>36</v>
      </c>
      <c r="I199" s="311">
        <v>5.0500415243978206E-2</v>
      </c>
      <c r="J199" s="311">
        <v>9.6440403005616113E-2</v>
      </c>
      <c r="K199" s="311">
        <v>0.14694081824959432</v>
      </c>
      <c r="L199" s="144">
        <f t="shared" si="278"/>
        <v>0.72143450348540294</v>
      </c>
      <c r="M199" s="144">
        <f t="shared" si="279"/>
        <v>2.9145953940810281</v>
      </c>
      <c r="N199" s="144">
        <f t="shared" si="280"/>
        <v>0.10172226499144181</v>
      </c>
      <c r="O199" s="144">
        <f t="shared" si="281"/>
        <v>0.11615095506114989</v>
      </c>
      <c r="P199" s="144">
        <f t="shared" si="282"/>
        <v>0.39101750088908843</v>
      </c>
      <c r="Q199" s="144">
        <f t="shared" si="283"/>
        <v>1.377720042937373</v>
      </c>
      <c r="R199" s="144">
        <f t="shared" si="284"/>
        <v>5.565988973466987</v>
      </c>
      <c r="S199" s="144">
        <f t="shared" si="285"/>
        <v>0.1942585260541696</v>
      </c>
      <c r="T199" s="144">
        <f t="shared" si="286"/>
        <v>0.22181292691291707</v>
      </c>
      <c r="U199" s="144">
        <f t="shared" si="287"/>
        <v>0.74672426327205621</v>
      </c>
      <c r="V199" s="338">
        <f t="shared" si="288"/>
        <v>2.0991545464227759</v>
      </c>
      <c r="W199" s="338">
        <f t="shared" si="289"/>
        <v>8.4805843675480155</v>
      </c>
      <c r="X199" s="338">
        <f t="shared" si="290"/>
        <v>0.29598079104561142</v>
      </c>
      <c r="Y199" s="338">
        <f t="shared" si="291"/>
        <v>0.33796388197406696</v>
      </c>
      <c r="Z199" s="338">
        <f t="shared" si="292"/>
        <v>1.1377417641611447</v>
      </c>
      <c r="AA199" s="199">
        <v>9</v>
      </c>
      <c r="AB199" s="176">
        <v>28</v>
      </c>
      <c r="AC199" s="177">
        <v>1</v>
      </c>
      <c r="AD199" s="238">
        <f t="shared" si="293"/>
        <v>0.72143450348540294</v>
      </c>
      <c r="AE199" s="238">
        <f t="shared" si="294"/>
        <v>1.377720042937373</v>
      </c>
      <c r="AF199" s="238">
        <f t="shared" si="295"/>
        <v>2.0991545464227759</v>
      </c>
      <c r="AG199" s="238">
        <f>M199*VLOOKUP($AA199,'SKOR PPH'!$B$13:$D$21,3,FALSE)</f>
        <v>3.5505601090695085</v>
      </c>
      <c r="AH199" s="238">
        <f>N199*VLOOKUP($AA199,'SKOR PPH'!$B$13:$D$21,3,FALSE)</f>
        <v>0.12391806321257441</v>
      </c>
      <c r="AI199" s="238">
        <f>O199*VLOOKUP($AA199,'SKOR PPH'!$B$13:$D$21,3,FALSE)</f>
        <v>0.1414950934554928</v>
      </c>
      <c r="AJ199" s="238">
        <f>P199*VLOOKUP($AA199,'SKOR PPH'!$B$13:$D$21,3,FALSE)</f>
        <v>0.47633751958308751</v>
      </c>
      <c r="AK199" s="238">
        <f>$AD199*VLOOKUP($AA199,'SKOR PPH'!$B$13:$D$21,3,FALSE)</f>
        <v>0.87885151214591783</v>
      </c>
      <c r="AL199" s="238">
        <f>R199*VLOOKUP($AA199,'SKOR PPH'!$B$13:$D$21,3,FALSE)</f>
        <v>6.7804877674774833</v>
      </c>
      <c r="AM199" s="238">
        <f>S199*VLOOKUP($AA199,'SKOR PPH'!$B$13:$D$21,3,FALSE)</f>
        <v>0.2366457364391894</v>
      </c>
      <c r="AN199" s="238">
        <f>T199*VLOOKUP($AA199,'SKOR PPH'!$B$13:$D$21,3,FALSE)</f>
        <v>0.27021250756531556</v>
      </c>
      <c r="AO199" s="238">
        <f>U199*VLOOKUP($AA199,'SKOR PPH'!$B$13:$D$21,3,FALSE)</f>
        <v>0.90965949751801889</v>
      </c>
      <c r="AP199" s="238">
        <f>$AE199*VLOOKUP($AA199,'SKOR PPH'!$B$13:$D$21,3,FALSE)</f>
        <v>1.6783385563063078</v>
      </c>
      <c r="AQ199" s="238">
        <f>W199*VLOOKUP($AA199,'SKOR PPH'!$B$13:$D$21,3,FALSE)</f>
        <v>10.331047876546991</v>
      </c>
      <c r="AR199" s="238">
        <f>X199*VLOOKUP($AA199,'SKOR PPH'!$B$13:$D$21,3,FALSE)</f>
        <v>0.36056379965176383</v>
      </c>
      <c r="AS199" s="238">
        <f>Y199*VLOOKUP($AA199,'SKOR PPH'!$B$13:$D$21,3,FALSE)</f>
        <v>0.41170760102080833</v>
      </c>
      <c r="AT199" s="238">
        <f>Z199*VLOOKUP($AA199,'SKOR PPH'!$B$13:$D$21,3,FALSE)</f>
        <v>1.3859970171011065</v>
      </c>
      <c r="AU199" s="238">
        <f>$AF199*VLOOKUP($AA199,'SKOR PPH'!$B$13:$D$21,3,FALSE)</f>
        <v>2.5571900684522255</v>
      </c>
    </row>
    <row r="200" spans="2:47" ht="15" customHeight="1" x14ac:dyDescent="0.2">
      <c r="B200" s="199" t="s">
        <v>101</v>
      </c>
      <c r="C200" s="207">
        <v>100</v>
      </c>
      <c r="D200" s="149">
        <v>359</v>
      </c>
      <c r="E200" s="243">
        <v>11.5</v>
      </c>
      <c r="F200" s="149">
        <v>6.8</v>
      </c>
      <c r="G200" s="261">
        <v>64.400000000000006</v>
      </c>
      <c r="H200" s="208" t="s">
        <v>36</v>
      </c>
      <c r="I200" s="311">
        <v>1.0160331693354822E-3</v>
      </c>
      <c r="J200" s="311">
        <v>2.1736227596172098E-2</v>
      </c>
      <c r="K200" s="311">
        <v>2.2752260765507577E-2</v>
      </c>
      <c r="L200" s="144">
        <f t="shared" si="278"/>
        <v>1.451475956193546E-2</v>
      </c>
      <c r="M200" s="144">
        <f t="shared" si="279"/>
        <v>5.2107986827348303E-2</v>
      </c>
      <c r="N200" s="144">
        <f t="shared" si="280"/>
        <v>1.6691973496225779E-3</v>
      </c>
      <c r="O200" s="144">
        <f t="shared" si="281"/>
        <v>9.870036502116113E-4</v>
      </c>
      <c r="P200" s="144">
        <f t="shared" si="282"/>
        <v>9.3475051578864373E-3</v>
      </c>
      <c r="Q200" s="144">
        <f t="shared" si="283"/>
        <v>0.31051753708817287</v>
      </c>
      <c r="R200" s="144">
        <f t="shared" si="284"/>
        <v>1.1147579581465406</v>
      </c>
      <c r="S200" s="144">
        <f t="shared" si="285"/>
        <v>3.5709516765139879E-2</v>
      </c>
      <c r="T200" s="144">
        <f t="shared" si="286"/>
        <v>2.1115192521995754E-2</v>
      </c>
      <c r="U200" s="144">
        <f t="shared" si="287"/>
        <v>0.19997329388478333</v>
      </c>
      <c r="V200" s="338">
        <f t="shared" si="288"/>
        <v>0.32503229665010824</v>
      </c>
      <c r="W200" s="338">
        <f t="shared" si="289"/>
        <v>1.1668659449738887</v>
      </c>
      <c r="X200" s="338">
        <f t="shared" si="290"/>
        <v>3.737871411476245E-2</v>
      </c>
      <c r="Y200" s="338">
        <f t="shared" si="291"/>
        <v>2.2102196172207361E-2</v>
      </c>
      <c r="Z200" s="338">
        <f t="shared" si="292"/>
        <v>0.20932079904266973</v>
      </c>
      <c r="AA200" s="199">
        <v>9</v>
      </c>
      <c r="AB200" s="176">
        <v>28</v>
      </c>
      <c r="AC200" s="177">
        <v>1</v>
      </c>
      <c r="AD200" s="238">
        <f t="shared" si="293"/>
        <v>1.451475956193546E-2</v>
      </c>
      <c r="AE200" s="238">
        <f t="shared" si="294"/>
        <v>0.31051753708817287</v>
      </c>
      <c r="AF200" s="238">
        <f t="shared" si="295"/>
        <v>0.32503229665010824</v>
      </c>
      <c r="AG200" s="238">
        <f>M200*VLOOKUP($AA200,'SKOR PPH'!$B$13:$D$21,3,FALSE)</f>
        <v>6.3477949553075702E-2</v>
      </c>
      <c r="AH200" s="238">
        <f>N200*VLOOKUP($AA200,'SKOR PPH'!$B$13:$D$21,3,FALSE)</f>
        <v>2.0334162113102242E-3</v>
      </c>
      <c r="AI200" s="238">
        <f>O200*VLOOKUP($AA200,'SKOR PPH'!$B$13:$D$21,3,FALSE)</f>
        <v>1.2023678466877847E-3</v>
      </c>
      <c r="AJ200" s="238">
        <f>P200*VLOOKUP($AA200,'SKOR PPH'!$B$13:$D$21,3,FALSE)</f>
        <v>1.1387130783337257E-2</v>
      </c>
      <c r="AK200" s="238">
        <f>$AD200*VLOOKUP($AA200,'SKOR PPH'!$B$13:$D$21,3,FALSE)</f>
        <v>1.7681880098349777E-2</v>
      </c>
      <c r="AL200" s="238">
        <f>R200*VLOOKUP($AA200,'SKOR PPH'!$B$13:$D$21,3,FALSE)</f>
        <v>1.3579981446141156</v>
      </c>
      <c r="AM200" s="238">
        <f>S200*VLOOKUP($AA200,'SKOR PPH'!$B$13:$D$21,3,FALSE)</f>
        <v>4.3501333323293395E-2</v>
      </c>
      <c r="AN200" s="238">
        <f>T200*VLOOKUP($AA200,'SKOR PPH'!$B$13:$D$21,3,FALSE)</f>
        <v>2.5722527530295226E-2</v>
      </c>
      <c r="AO200" s="238">
        <f>U200*VLOOKUP($AA200,'SKOR PPH'!$B$13:$D$21,3,FALSE)</f>
        <v>0.24360746661044302</v>
      </c>
      <c r="AP200" s="238">
        <f>$AE200*VLOOKUP($AA200,'SKOR PPH'!$B$13:$D$21,3,FALSE)</f>
        <v>0.37827246368081219</v>
      </c>
      <c r="AQ200" s="238">
        <f>W200*VLOOKUP($AA200,'SKOR PPH'!$B$13:$D$21,3,FALSE)</f>
        <v>1.4214760941671911</v>
      </c>
      <c r="AR200" s="238">
        <f>X200*VLOOKUP($AA200,'SKOR PPH'!$B$13:$D$21,3,FALSE)</f>
        <v>4.5534749534603618E-2</v>
      </c>
      <c r="AS200" s="238">
        <f>Y200*VLOOKUP($AA200,'SKOR PPH'!$B$13:$D$21,3,FALSE)</f>
        <v>2.6924895376983005E-2</v>
      </c>
      <c r="AT200" s="238">
        <f>Z200*VLOOKUP($AA200,'SKOR PPH'!$B$13:$D$21,3,FALSE)</f>
        <v>0.25499459739378028</v>
      </c>
      <c r="AU200" s="238">
        <f>$AF200*VLOOKUP($AA200,'SKOR PPH'!$B$13:$D$21,3,FALSE)</f>
        <v>0.39595434377916183</v>
      </c>
    </row>
    <row r="201" spans="2:47" ht="15" customHeight="1" x14ac:dyDescent="0.2">
      <c r="B201" s="199" t="s">
        <v>102</v>
      </c>
      <c r="C201" s="207">
        <v>100</v>
      </c>
      <c r="D201" s="149">
        <v>132</v>
      </c>
      <c r="E201" s="243">
        <v>0.54</v>
      </c>
      <c r="F201" s="149">
        <v>0.91</v>
      </c>
      <c r="G201" s="261">
        <v>31.34</v>
      </c>
      <c r="H201" s="208" t="s">
        <v>36</v>
      </c>
      <c r="I201" s="311">
        <v>0.10090398017281624</v>
      </c>
      <c r="J201" s="311">
        <v>0.30720504061635945</v>
      </c>
      <c r="K201" s="311">
        <v>0.40810902078917555</v>
      </c>
      <c r="L201" s="144">
        <f t="shared" si="278"/>
        <v>1.4414854310402319</v>
      </c>
      <c r="M201" s="144">
        <f t="shared" si="279"/>
        <v>1.9027607689731063</v>
      </c>
      <c r="N201" s="144">
        <f t="shared" si="280"/>
        <v>7.7840213276172531E-3</v>
      </c>
      <c r="O201" s="144">
        <f t="shared" si="281"/>
        <v>1.3117517422466111E-2</v>
      </c>
      <c r="P201" s="144">
        <f t="shared" si="282"/>
        <v>0.45176153408800873</v>
      </c>
      <c r="Q201" s="144">
        <f t="shared" si="283"/>
        <v>4.3886434373765635</v>
      </c>
      <c r="R201" s="144">
        <f t="shared" si="284"/>
        <v>5.7930093373370637</v>
      </c>
      <c r="S201" s="144">
        <f t="shared" si="285"/>
        <v>2.3698674561833444E-2</v>
      </c>
      <c r="T201" s="144">
        <f t="shared" si="286"/>
        <v>3.9936655280126729E-2</v>
      </c>
      <c r="U201" s="144">
        <f t="shared" si="287"/>
        <v>1.3754008532738151</v>
      </c>
      <c r="V201" s="338">
        <f t="shared" si="288"/>
        <v>5.8301288684167938</v>
      </c>
      <c r="W201" s="338">
        <f t="shared" si="289"/>
        <v>7.6957701063101682</v>
      </c>
      <c r="X201" s="338">
        <f t="shared" si="290"/>
        <v>3.1482695889450692E-2</v>
      </c>
      <c r="Y201" s="338">
        <f t="shared" si="291"/>
        <v>5.3054172702592821E-2</v>
      </c>
      <c r="Z201" s="338">
        <f t="shared" si="292"/>
        <v>1.8271623873618232</v>
      </c>
      <c r="AA201" s="199">
        <v>9</v>
      </c>
      <c r="AB201" s="176">
        <v>28</v>
      </c>
      <c r="AC201" s="177">
        <v>1</v>
      </c>
      <c r="AD201" s="238">
        <f t="shared" si="293"/>
        <v>1.4414854310402319</v>
      </c>
      <c r="AE201" s="238">
        <f t="shared" si="294"/>
        <v>4.3886434373765635</v>
      </c>
      <c r="AF201" s="238">
        <f t="shared" si="295"/>
        <v>5.8301288684167938</v>
      </c>
      <c r="AG201" s="238">
        <f>M201*VLOOKUP($AA201,'SKOR PPH'!$B$13:$D$21,3,FALSE)</f>
        <v>2.3179431687630379</v>
      </c>
      <c r="AH201" s="238">
        <f>N201*VLOOKUP($AA201,'SKOR PPH'!$B$13:$D$21,3,FALSE)</f>
        <v>9.4824947813033373E-3</v>
      </c>
      <c r="AI201" s="238">
        <f>O201*VLOOKUP($AA201,'SKOR PPH'!$B$13:$D$21,3,FALSE)</f>
        <v>1.5979759724048217E-2</v>
      </c>
      <c r="AJ201" s="238">
        <f>P201*VLOOKUP($AA201,'SKOR PPH'!$B$13:$D$21,3,FALSE)</f>
        <v>0.55033590082601225</v>
      </c>
      <c r="AK201" s="238">
        <f>$AD201*VLOOKUP($AA201,'SKOR PPH'!$B$13:$D$21,3,FALSE)</f>
        <v>1.7560175520932104</v>
      </c>
      <c r="AL201" s="238">
        <f>R201*VLOOKUP($AA201,'SKOR PPH'!$B$13:$D$21,3,FALSE)</f>
        <v>7.057043974744011</v>
      </c>
      <c r="AM201" s="238">
        <f>S201*VLOOKUP($AA201,'SKOR PPH'!$B$13:$D$21,3,FALSE)</f>
        <v>2.8869725351225499E-2</v>
      </c>
      <c r="AN201" s="238">
        <f>T201*VLOOKUP($AA201,'SKOR PPH'!$B$13:$D$21,3,FALSE)</f>
        <v>4.8650833462250381E-2</v>
      </c>
      <c r="AO201" s="238">
        <f>U201*VLOOKUP($AA201,'SKOR PPH'!$B$13:$D$21,3,FALSE)</f>
        <v>1.6755133194581615</v>
      </c>
      <c r="AP201" s="238">
        <f>$AE201*VLOOKUP($AA201,'SKOR PPH'!$B$13:$D$21,3,FALSE)</f>
        <v>5.3462454354121292</v>
      </c>
      <c r="AQ201" s="238">
        <f>W201*VLOOKUP($AA201,'SKOR PPH'!$B$13:$D$21,3,FALSE)</f>
        <v>9.3749871435070471</v>
      </c>
      <c r="AR201" s="238">
        <f>X201*VLOOKUP($AA201,'SKOR PPH'!$B$13:$D$21,3,FALSE)</f>
        <v>3.8352220132528834E-2</v>
      </c>
      <c r="AS201" s="238">
        <f>Y201*VLOOKUP($AA201,'SKOR PPH'!$B$13:$D$21,3,FALSE)</f>
        <v>6.4630593186298574E-2</v>
      </c>
      <c r="AT201" s="238">
        <f>Z201*VLOOKUP($AA201,'SKOR PPH'!$B$13:$D$21,3,FALSE)</f>
        <v>2.2258492202841729</v>
      </c>
      <c r="AU201" s="238">
        <f>$AF201*VLOOKUP($AA201,'SKOR PPH'!$B$13:$D$21,3,FALSE)</f>
        <v>7.1022629875053376</v>
      </c>
    </row>
    <row r="202" spans="2:47" ht="15" customHeight="1" x14ac:dyDescent="0.2">
      <c r="B202" s="199" t="s">
        <v>103</v>
      </c>
      <c r="C202" s="207">
        <v>100</v>
      </c>
      <c r="D202" s="149">
        <v>469.3</v>
      </c>
      <c r="E202" s="243">
        <v>7.12</v>
      </c>
      <c r="F202" s="149">
        <v>34.58</v>
      </c>
      <c r="G202" s="261">
        <v>38.1</v>
      </c>
      <c r="H202" s="208" t="s">
        <v>36</v>
      </c>
      <c r="I202" s="311">
        <v>0</v>
      </c>
      <c r="J202" s="311">
        <v>0</v>
      </c>
      <c r="K202" s="311">
        <v>0</v>
      </c>
      <c r="L202" s="144">
        <f t="shared" si="278"/>
        <v>0</v>
      </c>
      <c r="M202" s="144">
        <f t="shared" si="279"/>
        <v>0</v>
      </c>
      <c r="N202" s="144">
        <f t="shared" si="280"/>
        <v>0</v>
      </c>
      <c r="O202" s="144">
        <f t="shared" si="281"/>
        <v>0</v>
      </c>
      <c r="P202" s="144">
        <f t="shared" si="282"/>
        <v>0</v>
      </c>
      <c r="Q202" s="144">
        <f t="shared" si="283"/>
        <v>0</v>
      </c>
      <c r="R202" s="144">
        <f t="shared" si="284"/>
        <v>0</v>
      </c>
      <c r="S202" s="144">
        <f t="shared" si="285"/>
        <v>0</v>
      </c>
      <c r="T202" s="144">
        <f t="shared" si="286"/>
        <v>0</v>
      </c>
      <c r="U202" s="144">
        <f t="shared" si="287"/>
        <v>0</v>
      </c>
      <c r="V202" s="338">
        <f t="shared" si="288"/>
        <v>0</v>
      </c>
      <c r="W202" s="338">
        <f t="shared" si="289"/>
        <v>0</v>
      </c>
      <c r="X202" s="338">
        <f t="shared" si="290"/>
        <v>0</v>
      </c>
      <c r="Y202" s="338">
        <f t="shared" si="291"/>
        <v>0</v>
      </c>
      <c r="Z202" s="338">
        <f t="shared" si="292"/>
        <v>0</v>
      </c>
      <c r="AA202" s="199">
        <v>9</v>
      </c>
      <c r="AB202" s="176">
        <v>28</v>
      </c>
      <c r="AC202" s="177">
        <v>1</v>
      </c>
      <c r="AD202" s="238">
        <f t="shared" si="293"/>
        <v>0</v>
      </c>
      <c r="AE202" s="238">
        <f t="shared" si="294"/>
        <v>0</v>
      </c>
      <c r="AF202" s="238">
        <f t="shared" si="295"/>
        <v>0</v>
      </c>
      <c r="AG202" s="238">
        <f>M202*VLOOKUP($AA202,'SKOR PPH'!$B$13:$D$21,3,FALSE)</f>
        <v>0</v>
      </c>
      <c r="AH202" s="238">
        <f>N202*VLOOKUP($AA202,'SKOR PPH'!$B$13:$D$21,3,FALSE)</f>
        <v>0</v>
      </c>
      <c r="AI202" s="238">
        <f>O202*VLOOKUP($AA202,'SKOR PPH'!$B$13:$D$21,3,FALSE)</f>
        <v>0</v>
      </c>
      <c r="AJ202" s="238">
        <f>P202*VLOOKUP($AA202,'SKOR PPH'!$B$13:$D$21,3,FALSE)</f>
        <v>0</v>
      </c>
      <c r="AK202" s="238">
        <f>$AD202*VLOOKUP($AA202,'SKOR PPH'!$B$13:$D$21,3,FALSE)</f>
        <v>0</v>
      </c>
      <c r="AL202" s="238">
        <f>R202*VLOOKUP($AA202,'SKOR PPH'!$B$13:$D$21,3,FALSE)</f>
        <v>0</v>
      </c>
      <c r="AM202" s="238">
        <f>S202*VLOOKUP($AA202,'SKOR PPH'!$B$13:$D$21,3,FALSE)</f>
        <v>0</v>
      </c>
      <c r="AN202" s="238">
        <f>T202*VLOOKUP($AA202,'SKOR PPH'!$B$13:$D$21,3,FALSE)</f>
        <v>0</v>
      </c>
      <c r="AO202" s="238">
        <f>U202*VLOOKUP($AA202,'SKOR PPH'!$B$13:$D$21,3,FALSE)</f>
        <v>0</v>
      </c>
      <c r="AP202" s="238">
        <f>$AE202*VLOOKUP($AA202,'SKOR PPH'!$B$13:$D$21,3,FALSE)</f>
        <v>0</v>
      </c>
      <c r="AQ202" s="238">
        <f>W202*VLOOKUP($AA202,'SKOR PPH'!$B$13:$D$21,3,FALSE)</f>
        <v>0</v>
      </c>
      <c r="AR202" s="238">
        <f>X202*VLOOKUP($AA202,'SKOR PPH'!$B$13:$D$21,3,FALSE)</f>
        <v>0</v>
      </c>
      <c r="AS202" s="238">
        <f>Y202*VLOOKUP($AA202,'SKOR PPH'!$B$13:$D$21,3,FALSE)</f>
        <v>0</v>
      </c>
      <c r="AT202" s="238">
        <f>Z202*VLOOKUP($AA202,'SKOR PPH'!$B$13:$D$21,3,FALSE)</f>
        <v>0</v>
      </c>
      <c r="AU202" s="238">
        <f>$AF202*VLOOKUP($AA202,'SKOR PPH'!$B$13:$D$21,3,FALSE)</f>
        <v>0</v>
      </c>
    </row>
    <row r="203" spans="2:47" ht="15" customHeight="1" x14ac:dyDescent="0.2">
      <c r="B203" s="199" t="s">
        <v>104</v>
      </c>
      <c r="C203" s="207">
        <v>100</v>
      </c>
      <c r="D203" s="149">
        <v>292</v>
      </c>
      <c r="E203" s="243">
        <v>5.2</v>
      </c>
      <c r="F203" s="149">
        <v>8.9</v>
      </c>
      <c r="G203" s="261">
        <v>57.4</v>
      </c>
      <c r="H203" s="208" t="s">
        <v>36</v>
      </c>
      <c r="I203" s="311">
        <v>0</v>
      </c>
      <c r="J203" s="311">
        <v>0</v>
      </c>
      <c r="K203" s="311">
        <v>0</v>
      </c>
      <c r="L203" s="144">
        <f t="shared" si="278"/>
        <v>0</v>
      </c>
      <c r="M203" s="144">
        <f t="shared" si="279"/>
        <v>0</v>
      </c>
      <c r="N203" s="144">
        <f t="shared" si="280"/>
        <v>0</v>
      </c>
      <c r="O203" s="144">
        <f t="shared" si="281"/>
        <v>0</v>
      </c>
      <c r="P203" s="144">
        <f t="shared" si="282"/>
        <v>0</v>
      </c>
      <c r="Q203" s="144">
        <f t="shared" si="283"/>
        <v>0</v>
      </c>
      <c r="R203" s="144">
        <f t="shared" si="284"/>
        <v>0</v>
      </c>
      <c r="S203" s="144">
        <f t="shared" si="285"/>
        <v>0</v>
      </c>
      <c r="T203" s="144">
        <f t="shared" si="286"/>
        <v>0</v>
      </c>
      <c r="U203" s="144">
        <f t="shared" si="287"/>
        <v>0</v>
      </c>
      <c r="V203" s="338">
        <f t="shared" si="288"/>
        <v>0</v>
      </c>
      <c r="W203" s="338">
        <f t="shared" si="289"/>
        <v>0</v>
      </c>
      <c r="X203" s="338">
        <f t="shared" si="290"/>
        <v>0</v>
      </c>
      <c r="Y203" s="338">
        <f t="shared" si="291"/>
        <v>0</v>
      </c>
      <c r="Z203" s="338">
        <f t="shared" si="292"/>
        <v>0</v>
      </c>
      <c r="AA203" s="199">
        <v>9</v>
      </c>
      <c r="AB203" s="176">
        <v>28</v>
      </c>
      <c r="AC203" s="177">
        <v>1</v>
      </c>
      <c r="AD203" s="238">
        <f t="shared" si="293"/>
        <v>0</v>
      </c>
      <c r="AE203" s="238">
        <f t="shared" si="294"/>
        <v>0</v>
      </c>
      <c r="AF203" s="238">
        <f t="shared" si="295"/>
        <v>0</v>
      </c>
      <c r="AG203" s="238">
        <f>M203*VLOOKUP($AA203,'SKOR PPH'!$B$13:$D$21,3,FALSE)</f>
        <v>0</v>
      </c>
      <c r="AH203" s="238">
        <f>N203*VLOOKUP($AA203,'SKOR PPH'!$B$13:$D$21,3,FALSE)</f>
        <v>0</v>
      </c>
      <c r="AI203" s="238">
        <f>O203*VLOOKUP($AA203,'SKOR PPH'!$B$13:$D$21,3,FALSE)</f>
        <v>0</v>
      </c>
      <c r="AJ203" s="238">
        <f>P203*VLOOKUP($AA203,'SKOR PPH'!$B$13:$D$21,3,FALSE)</f>
        <v>0</v>
      </c>
      <c r="AK203" s="238">
        <f>$AD203*VLOOKUP($AA203,'SKOR PPH'!$B$13:$D$21,3,FALSE)</f>
        <v>0</v>
      </c>
      <c r="AL203" s="238">
        <f>R203*VLOOKUP($AA203,'SKOR PPH'!$B$13:$D$21,3,FALSE)</f>
        <v>0</v>
      </c>
      <c r="AM203" s="238">
        <f>S203*VLOOKUP($AA203,'SKOR PPH'!$B$13:$D$21,3,FALSE)</f>
        <v>0</v>
      </c>
      <c r="AN203" s="238">
        <f>T203*VLOOKUP($AA203,'SKOR PPH'!$B$13:$D$21,3,FALSE)</f>
        <v>0</v>
      </c>
      <c r="AO203" s="238">
        <f>U203*VLOOKUP($AA203,'SKOR PPH'!$B$13:$D$21,3,FALSE)</f>
        <v>0</v>
      </c>
      <c r="AP203" s="238">
        <f>$AE203*VLOOKUP($AA203,'SKOR PPH'!$B$13:$D$21,3,FALSE)</f>
        <v>0</v>
      </c>
      <c r="AQ203" s="238">
        <f>W203*VLOOKUP($AA203,'SKOR PPH'!$B$13:$D$21,3,FALSE)</f>
        <v>0</v>
      </c>
      <c r="AR203" s="238">
        <f>X203*VLOOKUP($AA203,'SKOR PPH'!$B$13:$D$21,3,FALSE)</f>
        <v>0</v>
      </c>
      <c r="AS203" s="238">
        <f>Y203*VLOOKUP($AA203,'SKOR PPH'!$B$13:$D$21,3,FALSE)</f>
        <v>0</v>
      </c>
      <c r="AT203" s="238">
        <f>Z203*VLOOKUP($AA203,'SKOR PPH'!$B$13:$D$21,3,FALSE)</f>
        <v>0</v>
      </c>
      <c r="AU203" s="238">
        <f>$AF203*VLOOKUP($AA203,'SKOR PPH'!$B$13:$D$21,3,FALSE)</f>
        <v>0</v>
      </c>
    </row>
    <row r="204" spans="2:47" ht="15" customHeight="1" x14ac:dyDescent="0.2">
      <c r="B204" s="199" t="s">
        <v>105</v>
      </c>
      <c r="C204" s="207">
        <v>100</v>
      </c>
      <c r="D204" s="149">
        <v>250</v>
      </c>
      <c r="E204" s="243">
        <v>23.05</v>
      </c>
      <c r="F204" s="149">
        <v>2.15</v>
      </c>
      <c r="G204" s="261">
        <v>34.6</v>
      </c>
      <c r="H204" s="208" t="s">
        <v>36</v>
      </c>
      <c r="I204" s="311">
        <v>1.5410147621660984E-2</v>
      </c>
      <c r="J204" s="311">
        <v>4.332888537694464E-2</v>
      </c>
      <c r="K204" s="311">
        <v>5.8739032998605618E-2</v>
      </c>
      <c r="L204" s="144">
        <f t="shared" si="278"/>
        <v>0.22014496602372832</v>
      </c>
      <c r="M204" s="144">
        <f t="shared" si="279"/>
        <v>0.55036241505932082</v>
      </c>
      <c r="N204" s="144">
        <f t="shared" si="280"/>
        <v>5.0743414668469385E-2</v>
      </c>
      <c r="O204" s="144">
        <f t="shared" si="281"/>
        <v>4.7331167695101595E-3</v>
      </c>
      <c r="P204" s="144">
        <f t="shared" si="282"/>
        <v>7.6170158244210015E-2</v>
      </c>
      <c r="Q204" s="144">
        <f t="shared" si="283"/>
        <v>0.61898407681349477</v>
      </c>
      <c r="R204" s="144">
        <f t="shared" si="284"/>
        <v>1.5474601920337372</v>
      </c>
      <c r="S204" s="144">
        <f t="shared" si="285"/>
        <v>0.14267582970551057</v>
      </c>
      <c r="T204" s="144">
        <f t="shared" si="286"/>
        <v>1.3308157651490139E-2</v>
      </c>
      <c r="U204" s="144">
        <f t="shared" si="287"/>
        <v>0.21416849057746923</v>
      </c>
      <c r="V204" s="338">
        <f t="shared" si="288"/>
        <v>0.83912904283722312</v>
      </c>
      <c r="W204" s="338">
        <f t="shared" si="289"/>
        <v>2.0978226070930579</v>
      </c>
      <c r="X204" s="338">
        <f t="shared" si="290"/>
        <v>0.19341924437397995</v>
      </c>
      <c r="Y204" s="338">
        <f t="shared" si="291"/>
        <v>1.8041274421000297E-2</v>
      </c>
      <c r="Z204" s="338">
        <f t="shared" si="292"/>
        <v>0.2903386488216792</v>
      </c>
      <c r="AA204" s="199">
        <v>9</v>
      </c>
      <c r="AB204" s="176">
        <v>28</v>
      </c>
      <c r="AC204" s="177">
        <v>1</v>
      </c>
      <c r="AD204" s="238">
        <f t="shared" si="293"/>
        <v>0.22014496602372832</v>
      </c>
      <c r="AE204" s="238">
        <f t="shared" si="294"/>
        <v>0.61898407681349477</v>
      </c>
      <c r="AF204" s="238">
        <f t="shared" si="295"/>
        <v>0.83912904283722312</v>
      </c>
      <c r="AG204" s="238">
        <f>M204*VLOOKUP($AA204,'SKOR PPH'!$B$13:$D$21,3,FALSE)</f>
        <v>0.6704514940252646</v>
      </c>
      <c r="AH204" s="238">
        <f>N204*VLOOKUP($AA204,'SKOR PPH'!$B$13:$D$21,3,FALSE)</f>
        <v>6.1815627749129402E-2</v>
      </c>
      <c r="AI204" s="238">
        <f>O204*VLOOKUP($AA204,'SKOR PPH'!$B$13:$D$21,3,FALSE)</f>
        <v>5.7658828486172762E-3</v>
      </c>
      <c r="AJ204" s="238">
        <f>P204*VLOOKUP($AA204,'SKOR PPH'!$B$13:$D$21,3,FALSE)</f>
        <v>9.2790486773096634E-2</v>
      </c>
      <c r="AK204" s="238">
        <f>$AD204*VLOOKUP($AA204,'SKOR PPH'!$B$13:$D$21,3,FALSE)</f>
        <v>0.26818059761010582</v>
      </c>
      <c r="AL204" s="238">
        <f>R204*VLOOKUP($AA204,'SKOR PPH'!$B$13:$D$21,3,FALSE)</f>
        <v>1.8851160059354986</v>
      </c>
      <c r="AM204" s="238">
        <f>S204*VLOOKUP($AA204,'SKOR PPH'!$B$13:$D$21,3,FALSE)</f>
        <v>0.17380769574725297</v>
      </c>
      <c r="AN204" s="238">
        <f>T204*VLOOKUP($AA204,'SKOR PPH'!$B$13:$D$21,3,FALSE)</f>
        <v>1.6211997651045286E-2</v>
      </c>
      <c r="AO204" s="238">
        <f>U204*VLOOKUP($AA204,'SKOR PPH'!$B$13:$D$21,3,FALSE)</f>
        <v>0.26090005522147303</v>
      </c>
      <c r="AP204" s="238">
        <f>$AE204*VLOOKUP($AA204,'SKOR PPH'!$B$13:$D$21,3,FALSE)</f>
        <v>0.75404640237419929</v>
      </c>
      <c r="AQ204" s="238">
        <f>W204*VLOOKUP($AA204,'SKOR PPH'!$B$13:$D$21,3,FALSE)</f>
        <v>2.5555674999607629</v>
      </c>
      <c r="AR204" s="238">
        <f>X204*VLOOKUP($AA204,'SKOR PPH'!$B$13:$D$21,3,FALSE)</f>
        <v>0.23562332349638238</v>
      </c>
      <c r="AS204" s="238">
        <f>Y204*VLOOKUP($AA204,'SKOR PPH'!$B$13:$D$21,3,FALSE)</f>
        <v>2.197788049966256E-2</v>
      </c>
      <c r="AT204" s="238">
        <f>Z204*VLOOKUP($AA204,'SKOR PPH'!$B$13:$D$21,3,FALSE)</f>
        <v>0.35369054199456956</v>
      </c>
      <c r="AU204" s="238">
        <f>$AF204*VLOOKUP($AA204,'SKOR PPH'!$B$13:$D$21,3,FALSE)</f>
        <v>1.0222269999843052</v>
      </c>
    </row>
    <row r="205" spans="2:47" ht="15" customHeight="1" x14ac:dyDescent="0.2">
      <c r="B205" s="199" t="s">
        <v>106</v>
      </c>
      <c r="C205" s="212">
        <v>140</v>
      </c>
      <c r="D205" s="149">
        <v>51.5</v>
      </c>
      <c r="E205" s="243">
        <v>6.38</v>
      </c>
      <c r="F205" s="149">
        <v>1.46</v>
      </c>
      <c r="G205" s="261">
        <v>10.08</v>
      </c>
      <c r="H205" s="208" t="s">
        <v>107</v>
      </c>
      <c r="I205" s="311">
        <v>9.7180009381325379E-3</v>
      </c>
      <c r="J205" s="311">
        <v>3.0501765154223637E-2</v>
      </c>
      <c r="K205" s="311">
        <v>4.0219766092356168E-2</v>
      </c>
      <c r="L205" s="144">
        <f t="shared" si="278"/>
        <v>0.19436001876265077</v>
      </c>
      <c r="M205" s="144">
        <f t="shared" si="279"/>
        <v>7.1496721187689377E-2</v>
      </c>
      <c r="N205" s="144">
        <f t="shared" si="280"/>
        <v>8.8572637121836547E-3</v>
      </c>
      <c r="O205" s="144">
        <f t="shared" si="281"/>
        <v>2.0268973385247865E-3</v>
      </c>
      <c r="P205" s="144">
        <f t="shared" si="282"/>
        <v>1.3993921350910854E-2</v>
      </c>
      <c r="Q205" s="144">
        <f t="shared" si="283"/>
        <v>0.61003530308447274</v>
      </c>
      <c r="R205" s="144">
        <f t="shared" si="284"/>
        <v>0.22440584363464536</v>
      </c>
      <c r="S205" s="144">
        <f t="shared" si="285"/>
        <v>2.780018024056383E-2</v>
      </c>
      <c r="T205" s="144">
        <f t="shared" si="286"/>
        <v>6.3617967321666444E-3</v>
      </c>
      <c r="U205" s="144">
        <f t="shared" si="287"/>
        <v>4.3922541822082037E-2</v>
      </c>
      <c r="V205" s="338">
        <f t="shared" si="288"/>
        <v>0.80439532184712337</v>
      </c>
      <c r="W205" s="338">
        <f t="shared" si="289"/>
        <v>0.29590256482233468</v>
      </c>
      <c r="X205" s="338">
        <f t="shared" si="290"/>
        <v>3.6657443952747483E-2</v>
      </c>
      <c r="Y205" s="338">
        <f t="shared" si="291"/>
        <v>8.3886940706914288E-3</v>
      </c>
      <c r="Z205" s="338">
        <f t="shared" si="292"/>
        <v>5.7916463172992878E-2</v>
      </c>
      <c r="AA205" s="199">
        <v>6</v>
      </c>
      <c r="AB205" s="176">
        <v>19</v>
      </c>
      <c r="AC205" s="177">
        <v>1</v>
      </c>
      <c r="AD205" s="238">
        <f t="shared" si="293"/>
        <v>0.19436001876265077</v>
      </c>
      <c r="AE205" s="238">
        <f t="shared" si="294"/>
        <v>0.61003530308447274</v>
      </c>
      <c r="AF205" s="238">
        <f t="shared" si="295"/>
        <v>0.80439532184712337</v>
      </c>
      <c r="AG205" s="238">
        <f>M205*VLOOKUP($AA205,'SKOR PPH'!$B$13:$D$21,3,FALSE)</f>
        <v>0.10972601800674689</v>
      </c>
      <c r="AH205" s="238">
        <f>N205*VLOOKUP($AA205,'SKOR PPH'!$B$13:$D$21,3,FALSE)</f>
        <v>1.3593242619088255E-2</v>
      </c>
      <c r="AI205" s="238">
        <f>O205*VLOOKUP($AA205,'SKOR PPH'!$B$13:$D$21,3,FALSE)</f>
        <v>3.1106793454339899E-3</v>
      </c>
      <c r="AJ205" s="238">
        <f>P205*VLOOKUP($AA205,'SKOR PPH'!$B$13:$D$21,3,FALSE)</f>
        <v>2.1476471097242888E-2</v>
      </c>
      <c r="AK205" s="238">
        <f>$AD205*VLOOKUP($AA205,'SKOR PPH'!$B$13:$D$21,3,FALSE)</f>
        <v>0.29828432079504014</v>
      </c>
      <c r="AL205" s="238">
        <f>R205*VLOOKUP($AA205,'SKOR PPH'!$B$13:$D$21,3,FALSE)</f>
        <v>0.3443956482260902</v>
      </c>
      <c r="AM205" s="238">
        <f>S205*VLOOKUP($AA205,'SKOR PPH'!$B$13:$D$21,3,FALSE)</f>
        <v>4.2664936615193307E-2</v>
      </c>
      <c r="AN205" s="238">
        <f>T205*VLOOKUP($AA205,'SKOR PPH'!$B$13:$D$21,3,FALSE)</f>
        <v>9.7634494448561489E-3</v>
      </c>
      <c r="AO205" s="238">
        <f>U205*VLOOKUP($AA205,'SKOR PPH'!$B$13:$D$21,3,FALSE)</f>
        <v>6.74079249343493E-2</v>
      </c>
      <c r="AP205" s="238">
        <f>$AE205*VLOOKUP($AA205,'SKOR PPH'!$B$13:$D$21,3,FALSE)</f>
        <v>0.9362211796437403</v>
      </c>
      <c r="AQ205" s="238">
        <f>W205*VLOOKUP($AA205,'SKOR PPH'!$B$13:$D$21,3,FALSE)</f>
        <v>0.45412166623283701</v>
      </c>
      <c r="AR205" s="238">
        <f>X205*VLOOKUP($AA205,'SKOR PPH'!$B$13:$D$21,3,FALSE)</f>
        <v>5.6258179234281558E-2</v>
      </c>
      <c r="AS205" s="238">
        <f>Y205*VLOOKUP($AA205,'SKOR PPH'!$B$13:$D$21,3,FALSE)</f>
        <v>1.2874128790290136E-2</v>
      </c>
      <c r="AT205" s="238">
        <f>Z205*VLOOKUP($AA205,'SKOR PPH'!$B$13:$D$21,3,FALSE)</f>
        <v>8.8884396031592164E-2</v>
      </c>
      <c r="AU205" s="238">
        <f>$AF205*VLOOKUP($AA205,'SKOR PPH'!$B$13:$D$21,3,FALSE)</f>
        <v>1.2345055004387802</v>
      </c>
    </row>
    <row r="206" spans="2:47" ht="15" customHeight="1" x14ac:dyDescent="0.2">
      <c r="B206" s="199" t="s">
        <v>108</v>
      </c>
      <c r="C206" s="212">
        <v>1</v>
      </c>
      <c r="D206" s="149">
        <v>0</v>
      </c>
      <c r="E206" s="243">
        <v>0</v>
      </c>
      <c r="F206" s="149">
        <v>0</v>
      </c>
      <c r="G206" s="261">
        <v>0</v>
      </c>
      <c r="H206" s="208" t="s">
        <v>186</v>
      </c>
      <c r="I206" s="311">
        <v>0.43211125951605039</v>
      </c>
      <c r="J206" s="311">
        <v>2.8078791022141032</v>
      </c>
      <c r="K206" s="311">
        <v>3.2399903617301509</v>
      </c>
      <c r="L206" s="144">
        <f t="shared" si="278"/>
        <v>6.173017993086434E-2</v>
      </c>
      <c r="M206" s="144">
        <f t="shared" si="279"/>
        <v>0</v>
      </c>
      <c r="N206" s="144">
        <f t="shared" si="280"/>
        <v>0</v>
      </c>
      <c r="O206" s="144">
        <f t="shared" si="281"/>
        <v>0</v>
      </c>
      <c r="P206" s="144">
        <f t="shared" si="282"/>
        <v>0</v>
      </c>
      <c r="Q206" s="144">
        <f t="shared" si="283"/>
        <v>0.40112558603058618</v>
      </c>
      <c r="R206" s="144">
        <f t="shared" si="284"/>
        <v>0</v>
      </c>
      <c r="S206" s="144">
        <f t="shared" si="285"/>
        <v>0</v>
      </c>
      <c r="T206" s="144">
        <f t="shared" si="286"/>
        <v>0</v>
      </c>
      <c r="U206" s="144">
        <f t="shared" si="287"/>
        <v>0</v>
      </c>
      <c r="V206" s="338">
        <f t="shared" si="288"/>
        <v>0.46285576596145012</v>
      </c>
      <c r="W206" s="338">
        <f t="shared" si="289"/>
        <v>0</v>
      </c>
      <c r="X206" s="338">
        <f t="shared" si="290"/>
        <v>0</v>
      </c>
      <c r="Y206" s="338">
        <f t="shared" si="291"/>
        <v>0</v>
      </c>
      <c r="Z206" s="338">
        <f t="shared" si="292"/>
        <v>0</v>
      </c>
      <c r="AA206" s="199">
        <v>9</v>
      </c>
      <c r="AB206" s="176">
        <v>28</v>
      </c>
      <c r="AC206" s="240">
        <v>0</v>
      </c>
      <c r="AD206" s="238">
        <f t="shared" si="293"/>
        <v>0</v>
      </c>
      <c r="AE206" s="238">
        <f t="shared" si="294"/>
        <v>0</v>
      </c>
      <c r="AF206" s="238">
        <f t="shared" si="295"/>
        <v>0</v>
      </c>
      <c r="AG206" s="238">
        <f>M206*VLOOKUP($AA206,'SKOR PPH'!$B$13:$D$21,3,FALSE)</f>
        <v>0</v>
      </c>
      <c r="AH206" s="238">
        <f>N206*VLOOKUP($AA206,'SKOR PPH'!$B$13:$D$21,3,FALSE)</f>
        <v>0</v>
      </c>
      <c r="AI206" s="238">
        <f>O206*VLOOKUP($AA206,'SKOR PPH'!$B$13:$D$21,3,FALSE)</f>
        <v>0</v>
      </c>
      <c r="AJ206" s="238">
        <f>P206*VLOOKUP($AA206,'SKOR PPH'!$B$13:$D$21,3,FALSE)</f>
        <v>0</v>
      </c>
      <c r="AK206" s="238">
        <f>$AD206*VLOOKUP($AA206,'SKOR PPH'!$B$13:$D$21,3,FALSE)</f>
        <v>0</v>
      </c>
      <c r="AL206" s="238">
        <f>R206*VLOOKUP($AA206,'SKOR PPH'!$B$13:$D$21,3,FALSE)</f>
        <v>0</v>
      </c>
      <c r="AM206" s="238">
        <f>S206*VLOOKUP($AA206,'SKOR PPH'!$B$13:$D$21,3,FALSE)</f>
        <v>0</v>
      </c>
      <c r="AN206" s="238">
        <f>T206*VLOOKUP($AA206,'SKOR PPH'!$B$13:$D$21,3,FALSE)</f>
        <v>0</v>
      </c>
      <c r="AO206" s="238">
        <f>U206*VLOOKUP($AA206,'SKOR PPH'!$B$13:$D$21,3,FALSE)</f>
        <v>0</v>
      </c>
      <c r="AP206" s="238">
        <f>$AE206*VLOOKUP($AA206,'SKOR PPH'!$B$13:$D$21,3,FALSE)</f>
        <v>0</v>
      </c>
      <c r="AQ206" s="238">
        <f>W206*VLOOKUP($AA206,'SKOR PPH'!$B$13:$D$21,3,FALSE)</f>
        <v>0</v>
      </c>
      <c r="AR206" s="238">
        <f>X206*VLOOKUP($AA206,'SKOR PPH'!$B$13:$D$21,3,FALSE)</f>
        <v>0</v>
      </c>
      <c r="AS206" s="238">
        <f>Y206*VLOOKUP($AA206,'SKOR PPH'!$B$13:$D$21,3,FALSE)</f>
        <v>0</v>
      </c>
      <c r="AT206" s="238">
        <f>Z206*VLOOKUP($AA206,'SKOR PPH'!$B$13:$D$21,3,FALSE)</f>
        <v>0</v>
      </c>
      <c r="AU206" s="238">
        <f>$AF206*VLOOKUP($AA206,'SKOR PPH'!$B$13:$D$21,3,FALSE)</f>
        <v>0</v>
      </c>
    </row>
    <row r="207" spans="2:47" ht="15" customHeight="1" x14ac:dyDescent="0.2">
      <c r="B207" s="199" t="s">
        <v>109</v>
      </c>
      <c r="C207" s="212">
        <v>140</v>
      </c>
      <c r="D207" s="149">
        <v>109.8</v>
      </c>
      <c r="E207" s="243">
        <v>2.2400000000000002</v>
      </c>
      <c r="F207" s="149">
        <v>0.45</v>
      </c>
      <c r="G207" s="261">
        <v>27.44</v>
      </c>
      <c r="H207" s="208" t="s">
        <v>107</v>
      </c>
      <c r="I207" s="311">
        <v>0</v>
      </c>
      <c r="J207" s="311">
        <v>0</v>
      </c>
      <c r="K207" s="311">
        <v>0</v>
      </c>
      <c r="L207" s="144">
        <f t="shared" si="278"/>
        <v>0</v>
      </c>
      <c r="M207" s="144">
        <f t="shared" si="279"/>
        <v>0</v>
      </c>
      <c r="N207" s="144">
        <f t="shared" si="280"/>
        <v>0</v>
      </c>
      <c r="O207" s="144">
        <f t="shared" si="281"/>
        <v>0</v>
      </c>
      <c r="P207" s="144">
        <f t="shared" si="282"/>
        <v>0</v>
      </c>
      <c r="Q207" s="144">
        <f t="shared" si="283"/>
        <v>0</v>
      </c>
      <c r="R207" s="144">
        <f t="shared" si="284"/>
        <v>0</v>
      </c>
      <c r="S207" s="144">
        <f t="shared" si="285"/>
        <v>0</v>
      </c>
      <c r="T207" s="144">
        <f t="shared" si="286"/>
        <v>0</v>
      </c>
      <c r="U207" s="144">
        <f t="shared" si="287"/>
        <v>0</v>
      </c>
      <c r="V207" s="338">
        <f t="shared" si="288"/>
        <v>0</v>
      </c>
      <c r="W207" s="338">
        <f t="shared" si="289"/>
        <v>0</v>
      </c>
      <c r="X207" s="338">
        <f t="shared" si="290"/>
        <v>0</v>
      </c>
      <c r="Y207" s="338">
        <f t="shared" si="291"/>
        <v>0</v>
      </c>
      <c r="Z207" s="338">
        <f t="shared" si="292"/>
        <v>0</v>
      </c>
      <c r="AA207" s="199">
        <v>9</v>
      </c>
      <c r="AB207" s="176">
        <v>28</v>
      </c>
      <c r="AC207" s="177">
        <v>1</v>
      </c>
      <c r="AD207" s="238">
        <f t="shared" si="293"/>
        <v>0</v>
      </c>
      <c r="AE207" s="238">
        <f t="shared" si="294"/>
        <v>0</v>
      </c>
      <c r="AF207" s="238">
        <f t="shared" si="295"/>
        <v>0</v>
      </c>
      <c r="AG207" s="238">
        <f>M207*VLOOKUP($AA207,'SKOR PPH'!$B$13:$D$21,3,FALSE)</f>
        <v>0</v>
      </c>
      <c r="AH207" s="238">
        <f>N207*VLOOKUP($AA207,'SKOR PPH'!$B$13:$D$21,3,FALSE)</f>
        <v>0</v>
      </c>
      <c r="AI207" s="238">
        <f>O207*VLOOKUP($AA207,'SKOR PPH'!$B$13:$D$21,3,FALSE)</f>
        <v>0</v>
      </c>
      <c r="AJ207" s="238">
        <f>P207*VLOOKUP($AA207,'SKOR PPH'!$B$13:$D$21,3,FALSE)</f>
        <v>0</v>
      </c>
      <c r="AK207" s="238">
        <f>$AD207*VLOOKUP($AA207,'SKOR PPH'!$B$13:$D$21,3,FALSE)</f>
        <v>0</v>
      </c>
      <c r="AL207" s="238">
        <f>R207*VLOOKUP($AA207,'SKOR PPH'!$B$13:$D$21,3,FALSE)</f>
        <v>0</v>
      </c>
      <c r="AM207" s="238">
        <f>S207*VLOOKUP($AA207,'SKOR PPH'!$B$13:$D$21,3,FALSE)</f>
        <v>0</v>
      </c>
      <c r="AN207" s="238">
        <f>T207*VLOOKUP($AA207,'SKOR PPH'!$B$13:$D$21,3,FALSE)</f>
        <v>0</v>
      </c>
      <c r="AO207" s="238">
        <f>U207*VLOOKUP($AA207,'SKOR PPH'!$B$13:$D$21,3,FALSE)</f>
        <v>0</v>
      </c>
      <c r="AP207" s="238">
        <f>$AE207*VLOOKUP($AA207,'SKOR PPH'!$B$13:$D$21,3,FALSE)</f>
        <v>0</v>
      </c>
      <c r="AQ207" s="238">
        <f>W207*VLOOKUP($AA207,'SKOR PPH'!$B$13:$D$21,3,FALSE)</f>
        <v>0</v>
      </c>
      <c r="AR207" s="238">
        <f>X207*VLOOKUP($AA207,'SKOR PPH'!$B$13:$D$21,3,FALSE)</f>
        <v>0</v>
      </c>
      <c r="AS207" s="238">
        <f>Y207*VLOOKUP($AA207,'SKOR PPH'!$B$13:$D$21,3,FALSE)</f>
        <v>0</v>
      </c>
      <c r="AT207" s="238">
        <f>Z207*VLOOKUP($AA207,'SKOR PPH'!$B$13:$D$21,3,FALSE)</f>
        <v>0</v>
      </c>
      <c r="AU207" s="238">
        <f>$AF207*VLOOKUP($AA207,'SKOR PPH'!$B$13:$D$21,3,FALSE)</f>
        <v>0</v>
      </c>
    </row>
    <row r="208" spans="2:47" ht="15" customHeight="1" x14ac:dyDescent="0.2">
      <c r="B208" s="199" t="s">
        <v>110</v>
      </c>
      <c r="C208" s="212">
        <v>100</v>
      </c>
      <c r="D208" s="149">
        <v>0</v>
      </c>
      <c r="E208" s="243">
        <v>0</v>
      </c>
      <c r="F208" s="149">
        <v>0</v>
      </c>
      <c r="G208" s="261">
        <v>0</v>
      </c>
      <c r="H208" s="208" t="s">
        <v>36</v>
      </c>
      <c r="I208" s="311">
        <v>9.6102155516674212E-2</v>
      </c>
      <c r="J208" s="311">
        <v>0.50781802607638438</v>
      </c>
      <c r="K208" s="311">
        <v>0.6039201815930586</v>
      </c>
      <c r="L208" s="144">
        <f t="shared" si="278"/>
        <v>1.3728879359524888</v>
      </c>
      <c r="M208" s="144">
        <f t="shared" si="279"/>
        <v>0</v>
      </c>
      <c r="N208" s="144">
        <f t="shared" si="280"/>
        <v>0</v>
      </c>
      <c r="O208" s="144">
        <f t="shared" si="281"/>
        <v>0</v>
      </c>
      <c r="P208" s="144">
        <f t="shared" si="282"/>
        <v>0</v>
      </c>
      <c r="Q208" s="144">
        <f t="shared" si="283"/>
        <v>7.2545432296626347</v>
      </c>
      <c r="R208" s="144">
        <f t="shared" si="284"/>
        <v>0</v>
      </c>
      <c r="S208" s="144">
        <f t="shared" si="285"/>
        <v>0</v>
      </c>
      <c r="T208" s="144">
        <f t="shared" si="286"/>
        <v>0</v>
      </c>
      <c r="U208" s="144">
        <f t="shared" si="287"/>
        <v>0</v>
      </c>
      <c r="V208" s="338">
        <f t="shared" si="288"/>
        <v>8.627431165615123</v>
      </c>
      <c r="W208" s="338">
        <f t="shared" si="289"/>
        <v>0</v>
      </c>
      <c r="X208" s="338">
        <f t="shared" si="290"/>
        <v>0</v>
      </c>
      <c r="Y208" s="338">
        <f t="shared" si="291"/>
        <v>0</v>
      </c>
      <c r="Z208" s="338">
        <f t="shared" si="292"/>
        <v>0</v>
      </c>
      <c r="AA208" s="199">
        <v>9</v>
      </c>
      <c r="AB208" s="176">
        <v>28</v>
      </c>
      <c r="AC208" s="177">
        <v>1</v>
      </c>
      <c r="AD208" s="238">
        <f t="shared" si="293"/>
        <v>1.3728879359524888</v>
      </c>
      <c r="AE208" s="238">
        <f t="shared" si="294"/>
        <v>7.2545432296626347</v>
      </c>
      <c r="AF208" s="238">
        <f t="shared" si="295"/>
        <v>8.627431165615123</v>
      </c>
      <c r="AG208" s="238">
        <f>M208*VLOOKUP($AA208,'SKOR PPH'!$B$13:$D$21,3,FALSE)</f>
        <v>0</v>
      </c>
      <c r="AH208" s="238">
        <f>N208*VLOOKUP($AA208,'SKOR PPH'!$B$13:$D$21,3,FALSE)</f>
        <v>0</v>
      </c>
      <c r="AI208" s="238">
        <f>O208*VLOOKUP($AA208,'SKOR PPH'!$B$13:$D$21,3,FALSE)</f>
        <v>0</v>
      </c>
      <c r="AJ208" s="238">
        <f>P208*VLOOKUP($AA208,'SKOR PPH'!$B$13:$D$21,3,FALSE)</f>
        <v>0</v>
      </c>
      <c r="AK208" s="238">
        <f>$AD208*VLOOKUP($AA208,'SKOR PPH'!$B$13:$D$21,3,FALSE)</f>
        <v>1.6724520835773218</v>
      </c>
      <c r="AL208" s="238">
        <f>R208*VLOOKUP($AA208,'SKOR PPH'!$B$13:$D$21,3,FALSE)</f>
        <v>0</v>
      </c>
      <c r="AM208" s="238">
        <f>S208*VLOOKUP($AA208,'SKOR PPH'!$B$13:$D$21,3,FALSE)</f>
        <v>0</v>
      </c>
      <c r="AN208" s="238">
        <f>T208*VLOOKUP($AA208,'SKOR PPH'!$B$13:$D$21,3,FALSE)</f>
        <v>0</v>
      </c>
      <c r="AO208" s="238">
        <f>U208*VLOOKUP($AA208,'SKOR PPH'!$B$13:$D$21,3,FALSE)</f>
        <v>0</v>
      </c>
      <c r="AP208" s="238">
        <f>$AE208*VLOOKUP($AA208,'SKOR PPH'!$B$13:$D$21,3,FALSE)</f>
        <v>8.8374845623750211</v>
      </c>
      <c r="AQ208" s="238">
        <f>W208*VLOOKUP($AA208,'SKOR PPH'!$B$13:$D$21,3,FALSE)</f>
        <v>0</v>
      </c>
      <c r="AR208" s="238">
        <f>X208*VLOOKUP($AA208,'SKOR PPH'!$B$13:$D$21,3,FALSE)</f>
        <v>0</v>
      </c>
      <c r="AS208" s="238">
        <f>Y208*VLOOKUP($AA208,'SKOR PPH'!$B$13:$D$21,3,FALSE)</f>
        <v>0</v>
      </c>
      <c r="AT208" s="238">
        <f>Z208*VLOOKUP($AA208,'SKOR PPH'!$B$13:$D$21,3,FALSE)</f>
        <v>0</v>
      </c>
      <c r="AU208" s="238">
        <f>$AF208*VLOOKUP($AA208,'SKOR PPH'!$B$13:$D$21,3,FALSE)</f>
        <v>10.509936645952342</v>
      </c>
    </row>
    <row r="209" spans="2:47" ht="15" customHeight="1" x14ac:dyDescent="0.2">
      <c r="B209" s="199" t="s">
        <v>111</v>
      </c>
      <c r="C209" s="212">
        <v>100</v>
      </c>
      <c r="D209" s="149">
        <v>49.3</v>
      </c>
      <c r="E209" s="243">
        <v>1.51</v>
      </c>
      <c r="F209" s="149">
        <v>1.54</v>
      </c>
      <c r="G209" s="261">
        <v>8.4499999999999993</v>
      </c>
      <c r="H209" s="208" t="s">
        <v>36</v>
      </c>
      <c r="I209" s="311">
        <v>1.2948683517544963</v>
      </c>
      <c r="J209" s="311">
        <v>21.649742787400935</v>
      </c>
      <c r="K209" s="311">
        <v>22.944611139155434</v>
      </c>
      <c r="L209" s="144">
        <f t="shared" si="278"/>
        <v>18.49811931077852</v>
      </c>
      <c r="M209" s="144">
        <f t="shared" si="279"/>
        <v>9.1195728202138095</v>
      </c>
      <c r="N209" s="144">
        <f t="shared" si="280"/>
        <v>0.27932160159275565</v>
      </c>
      <c r="O209" s="144">
        <f t="shared" si="281"/>
        <v>0.28487103738598918</v>
      </c>
      <c r="P209" s="144">
        <f t="shared" si="282"/>
        <v>1.5630910817607848</v>
      </c>
      <c r="Q209" s="144">
        <f t="shared" si="283"/>
        <v>309.28203982001338</v>
      </c>
      <c r="R209" s="144">
        <f t="shared" si="284"/>
        <v>152.47604563126657</v>
      </c>
      <c r="S209" s="144">
        <f t="shared" si="285"/>
        <v>4.6701588012822013</v>
      </c>
      <c r="T209" s="144">
        <f t="shared" si="286"/>
        <v>4.7629434132282062</v>
      </c>
      <c r="U209" s="144">
        <f t="shared" si="287"/>
        <v>26.134332364791128</v>
      </c>
      <c r="V209" s="338">
        <f t="shared" si="288"/>
        <v>327.78015913079196</v>
      </c>
      <c r="W209" s="338">
        <f t="shared" si="289"/>
        <v>161.59561845148042</v>
      </c>
      <c r="X209" s="338">
        <f t="shared" si="290"/>
        <v>4.9494804028749586</v>
      </c>
      <c r="Y209" s="338">
        <f t="shared" si="291"/>
        <v>5.0478144506141955</v>
      </c>
      <c r="Z209" s="338">
        <f t="shared" si="292"/>
        <v>27.697423446551912</v>
      </c>
      <c r="AA209" s="199">
        <v>9</v>
      </c>
      <c r="AB209" s="176">
        <v>28</v>
      </c>
      <c r="AC209" s="177">
        <v>1</v>
      </c>
      <c r="AD209" s="238">
        <f t="shared" si="293"/>
        <v>18.49811931077852</v>
      </c>
      <c r="AE209" s="238">
        <f t="shared" si="294"/>
        <v>309.28203982001338</v>
      </c>
      <c r="AF209" s="238">
        <f t="shared" si="295"/>
        <v>327.78015913079196</v>
      </c>
      <c r="AG209" s="238">
        <f>M209*VLOOKUP($AA209,'SKOR PPH'!$B$13:$D$21,3,FALSE)</f>
        <v>11.109463609584463</v>
      </c>
      <c r="AH209" s="238">
        <f>N209*VLOOKUP($AA209,'SKOR PPH'!$B$13:$D$21,3,FALSE)</f>
        <v>0.34026957506029493</v>
      </c>
      <c r="AI209" s="238">
        <f>O209*VLOOKUP($AA209,'SKOR PPH'!$B$13:$D$21,3,FALSE)</f>
        <v>0.34702989774361198</v>
      </c>
      <c r="AJ209" s="238">
        <f>P209*VLOOKUP($AA209,'SKOR PPH'!$B$13:$D$21,3,FALSE)</f>
        <v>1.904157555800988</v>
      </c>
      <c r="AK209" s="238">
        <f>$AD209*VLOOKUP($AA209,'SKOR PPH'!$B$13:$D$21,3,FALSE)</f>
        <v>22.534408944390393</v>
      </c>
      <c r="AL209" s="238">
        <f>R209*VLOOKUP($AA209,'SKOR PPH'!$B$13:$D$21,3,FALSE)</f>
        <v>185.74631878800892</v>
      </c>
      <c r="AM209" s="238">
        <f>S209*VLOOKUP($AA209,'SKOR PPH'!$B$13:$D$21,3,FALSE)</f>
        <v>5.6891874517219776</v>
      </c>
      <c r="AN209" s="238">
        <f>T209*VLOOKUP($AA209,'SKOR PPH'!$B$13:$D$21,3,FALSE)</f>
        <v>5.8022176659946005</v>
      </c>
      <c r="AO209" s="238">
        <f>U209*VLOOKUP($AA209,'SKOR PPH'!$B$13:$D$21,3,FALSE)</f>
        <v>31.836843686788551</v>
      </c>
      <c r="AP209" s="238">
        <f>$AE209*VLOOKUP($AA209,'SKOR PPH'!$B$13:$D$21,3,FALSE)</f>
        <v>376.76738090874028</v>
      </c>
      <c r="AQ209" s="238">
        <f>W209*VLOOKUP($AA209,'SKOR PPH'!$B$13:$D$21,3,FALSE)</f>
        <v>196.85578239759343</v>
      </c>
      <c r="AR209" s="238">
        <f>X209*VLOOKUP($AA209,'SKOR PPH'!$B$13:$D$21,3,FALSE)</f>
        <v>6.029457026782274</v>
      </c>
      <c r="AS209" s="238">
        <f>Y209*VLOOKUP($AA209,'SKOR PPH'!$B$13:$D$21,3,FALSE)</f>
        <v>6.1492475637382125</v>
      </c>
      <c r="AT209" s="238">
        <f>Z209*VLOOKUP($AA209,'SKOR PPH'!$B$13:$D$21,3,FALSE)</f>
        <v>33.74100124258954</v>
      </c>
      <c r="AU209" s="238">
        <f>$AF209*VLOOKUP($AA209,'SKOR PPH'!$B$13:$D$21,3,FALSE)</f>
        <v>399.30178985313074</v>
      </c>
    </row>
    <row r="210" spans="2:47" ht="15" customHeight="1" x14ac:dyDescent="0.2">
      <c r="B210" s="211" t="s">
        <v>96</v>
      </c>
      <c r="C210" s="187"/>
      <c r="D210" s="188"/>
      <c r="E210" s="248"/>
      <c r="F210" s="188"/>
      <c r="G210" s="188"/>
      <c r="H210" s="267"/>
      <c r="I210" s="314"/>
      <c r="J210" s="314"/>
      <c r="K210" s="314"/>
      <c r="L210" s="127"/>
      <c r="M210" s="182"/>
      <c r="N210" s="127"/>
      <c r="O210" s="189"/>
      <c r="P210" s="189"/>
      <c r="Q210" s="127"/>
      <c r="R210" s="182"/>
      <c r="S210" s="127"/>
      <c r="T210" s="189"/>
      <c r="U210" s="189"/>
      <c r="V210" s="127"/>
      <c r="W210" s="182"/>
      <c r="X210" s="127"/>
      <c r="Y210" s="189"/>
      <c r="Z210" s="189"/>
      <c r="AA210" s="190"/>
      <c r="AB210" s="190"/>
      <c r="AC210" s="191"/>
      <c r="AD210" s="236"/>
      <c r="AE210" s="236"/>
      <c r="AF210" s="236"/>
      <c r="AG210" s="236"/>
      <c r="AH210" s="236"/>
      <c r="AI210" s="236"/>
      <c r="AJ210" s="236"/>
      <c r="AK210" s="236"/>
      <c r="AL210" s="236"/>
      <c r="AM210" s="236"/>
      <c r="AN210" s="236"/>
      <c r="AO210" s="236"/>
      <c r="AP210" s="236"/>
      <c r="AQ210" s="236"/>
      <c r="AR210" s="236"/>
      <c r="AS210" s="236"/>
      <c r="AT210" s="236"/>
      <c r="AU210" s="236"/>
    </row>
    <row r="211" spans="2:47" ht="15" customHeight="1" x14ac:dyDescent="0.2">
      <c r="B211" s="186" t="s">
        <v>112</v>
      </c>
      <c r="C211" s="187"/>
      <c r="D211" s="188"/>
      <c r="E211" s="248"/>
      <c r="F211" s="188"/>
      <c r="G211" s="188"/>
      <c r="H211" s="267"/>
      <c r="I211" s="314"/>
      <c r="J211" s="314"/>
      <c r="K211" s="314"/>
      <c r="L211" s="170"/>
      <c r="M211" s="170"/>
      <c r="N211" s="170"/>
      <c r="O211" s="171"/>
      <c r="P211" s="171"/>
      <c r="Q211" s="170"/>
      <c r="R211" s="170"/>
      <c r="S211" s="170"/>
      <c r="T211" s="171"/>
      <c r="U211" s="171"/>
      <c r="V211" s="170"/>
      <c r="W211" s="170"/>
      <c r="X211" s="170"/>
      <c r="Y211" s="171"/>
      <c r="Z211" s="171"/>
      <c r="AA211" s="190"/>
      <c r="AB211" s="190"/>
      <c r="AC211" s="191"/>
      <c r="AD211" s="236"/>
      <c r="AE211" s="236"/>
      <c r="AF211" s="236"/>
      <c r="AG211" s="236"/>
      <c r="AH211" s="236"/>
      <c r="AI211" s="236"/>
      <c r="AJ211" s="236"/>
      <c r="AK211" s="236"/>
      <c r="AL211" s="236"/>
      <c r="AM211" s="236"/>
      <c r="AN211" s="236"/>
      <c r="AO211" s="236"/>
      <c r="AP211" s="236"/>
      <c r="AQ211" s="236"/>
      <c r="AR211" s="236"/>
      <c r="AS211" s="236"/>
      <c r="AT211" s="236"/>
      <c r="AU211" s="236"/>
    </row>
    <row r="212" spans="2:47" ht="15" customHeight="1" x14ac:dyDescent="0.2">
      <c r="B212" s="199" t="s">
        <v>116</v>
      </c>
      <c r="C212" s="212">
        <v>80</v>
      </c>
      <c r="D212" s="149">
        <v>356</v>
      </c>
      <c r="E212" s="243">
        <v>8</v>
      </c>
      <c r="F212" s="149">
        <v>13.6</v>
      </c>
      <c r="G212" s="261">
        <v>48</v>
      </c>
      <c r="H212" s="208" t="s">
        <v>117</v>
      </c>
      <c r="I212" s="311">
        <v>6.9556368137549673E-2</v>
      </c>
      <c r="J212" s="311">
        <v>0.23360305597857445</v>
      </c>
      <c r="K212" s="311">
        <v>0.30315942411612418</v>
      </c>
      <c r="L212" s="144">
        <f t="shared" ref="L212:L220" si="296">$I212*C212/7</f>
        <v>0.79492992157199627</v>
      </c>
      <c r="M212" s="144">
        <f t="shared" ref="M212:M220" si="297">$I212*D212/7</f>
        <v>3.5374381509953836</v>
      </c>
      <c r="N212" s="144">
        <f t="shared" ref="N212:N220" si="298">$I212*E212/7</f>
        <v>7.9492992157199627E-2</v>
      </c>
      <c r="O212" s="144">
        <f t="shared" ref="O212:O220" si="299">$I212*F212/7</f>
        <v>0.13513808666723937</v>
      </c>
      <c r="P212" s="144">
        <f t="shared" ref="P212:P220" si="300">$I212*G212/7</f>
        <v>0.47695795294319776</v>
      </c>
      <c r="Q212" s="144">
        <f t="shared" ref="Q212:Q220" si="301">$J212*C212/7</f>
        <v>2.6697492111837078</v>
      </c>
      <c r="R212" s="144">
        <f t="shared" ref="R212:R220" si="302">$J212*D212/7</f>
        <v>11.8803839897675</v>
      </c>
      <c r="S212" s="144">
        <f t="shared" ref="S212:S220" si="303">$J212*E212/7</f>
        <v>0.26697492111837079</v>
      </c>
      <c r="T212" s="144">
        <f t="shared" ref="T212:T220" si="304">$J212*F212/7</f>
        <v>0.45385736590123033</v>
      </c>
      <c r="U212" s="144">
        <f t="shared" ref="U212:U220" si="305">$J212*G212/7</f>
        <v>1.6018495267102248</v>
      </c>
      <c r="V212" s="338">
        <f t="shared" ref="V212:V220" si="306">$K212*C212/7</f>
        <v>3.4646791327557049</v>
      </c>
      <c r="W212" s="338">
        <f t="shared" ref="W212:W220" si="307">$K212*D212/7</f>
        <v>15.417822140762885</v>
      </c>
      <c r="X212" s="338">
        <f t="shared" ref="X212:X220" si="308">$K212*E212/7</f>
        <v>0.34646791327557047</v>
      </c>
      <c r="Y212" s="338">
        <f t="shared" ref="Y212:Y220" si="309">$K212*F212/7</f>
        <v>0.58899545256846975</v>
      </c>
      <c r="Z212" s="338">
        <f t="shared" ref="Z212:Z220" si="310">$K212*G212/7</f>
        <v>2.0788074796534231</v>
      </c>
      <c r="AA212" s="199">
        <v>1</v>
      </c>
      <c r="AB212" s="176">
        <v>3</v>
      </c>
      <c r="AC212" s="177">
        <v>0.5</v>
      </c>
      <c r="AD212" s="238">
        <f t="shared" ref="AD212:AD220" si="311">$L212*$AC212</f>
        <v>0.39746496078599813</v>
      </c>
      <c r="AE212" s="238">
        <f t="shared" ref="AE212:AE220" si="312">$Q212*$AC212</f>
        <v>1.3348746055918539</v>
      </c>
      <c r="AF212" s="238">
        <f t="shared" ref="AF212:AF220" si="313">$V212*$AC212</f>
        <v>1.7323395663778525</v>
      </c>
      <c r="AG212" s="238">
        <f>M212*VLOOKUP($AA212,'SKOR PPH'!$B$13:$D$21,3,FALSE)</f>
        <v>3.6729220321785068</v>
      </c>
      <c r="AH212" s="238">
        <f>N212*VLOOKUP($AA212,'SKOR PPH'!$B$13:$D$21,3,FALSE)</f>
        <v>8.2537573756820373E-2</v>
      </c>
      <c r="AI212" s="238">
        <f>O212*VLOOKUP($AA212,'SKOR PPH'!$B$13:$D$21,3,FALSE)</f>
        <v>0.14031387538659462</v>
      </c>
      <c r="AJ212" s="238">
        <f>P212*VLOOKUP($AA212,'SKOR PPH'!$B$13:$D$21,3,FALSE)</f>
        <v>0.49522544254092221</v>
      </c>
      <c r="AK212" s="238">
        <f>$AD212*VLOOKUP($AA212,'SKOR PPH'!$B$13:$D$21,3,FALSE)</f>
        <v>0.41268786878410185</v>
      </c>
      <c r="AL212" s="238">
        <f>R212*VLOOKUP($AA212,'SKOR PPH'!$B$13:$D$21,3,FALSE)</f>
        <v>12.335402696575596</v>
      </c>
      <c r="AM212" s="238">
        <f>S212*VLOOKUP($AA212,'SKOR PPH'!$B$13:$D$21,3,FALSE)</f>
        <v>0.27720006059720437</v>
      </c>
      <c r="AN212" s="238">
        <f>T212*VLOOKUP($AA212,'SKOR PPH'!$B$13:$D$21,3,FALSE)</f>
        <v>0.47124010301524744</v>
      </c>
      <c r="AO212" s="238">
        <f>U212*VLOOKUP($AA212,'SKOR PPH'!$B$13:$D$21,3,FALSE)</f>
        <v>1.6632003635832264</v>
      </c>
      <c r="AP212" s="238">
        <f>$AE212*VLOOKUP($AA212,'SKOR PPH'!$B$13:$D$21,3,FALSE)</f>
        <v>1.3860003029860219</v>
      </c>
      <c r="AQ212" s="238">
        <f>W212*VLOOKUP($AA212,'SKOR PPH'!$B$13:$D$21,3,FALSE)</f>
        <v>16.008324728754104</v>
      </c>
      <c r="AR212" s="238">
        <f>X212*VLOOKUP($AA212,'SKOR PPH'!$B$13:$D$21,3,FALSE)</f>
        <v>0.35973763435402484</v>
      </c>
      <c r="AS212" s="238">
        <f>Y212*VLOOKUP($AA212,'SKOR PPH'!$B$13:$D$21,3,FALSE)</f>
        <v>0.61155397840184211</v>
      </c>
      <c r="AT212" s="238">
        <f>Z212*VLOOKUP($AA212,'SKOR PPH'!$B$13:$D$21,3,FALSE)</f>
        <v>2.158425806124149</v>
      </c>
      <c r="AU212" s="238">
        <f>$AF212*VLOOKUP($AA212,'SKOR PPH'!$B$13:$D$21,3,FALSE)</f>
        <v>1.7986881717701242</v>
      </c>
    </row>
    <row r="213" spans="2:47" ht="15" customHeight="1" x14ac:dyDescent="0.2">
      <c r="B213" s="199" t="s">
        <v>115</v>
      </c>
      <c r="C213" s="207">
        <v>100</v>
      </c>
      <c r="D213" s="149">
        <v>860</v>
      </c>
      <c r="E213" s="243">
        <v>6</v>
      </c>
      <c r="F213" s="149">
        <v>33</v>
      </c>
      <c r="G213" s="261">
        <v>140</v>
      </c>
      <c r="H213" s="208" t="s">
        <v>36</v>
      </c>
      <c r="I213" s="311">
        <v>0</v>
      </c>
      <c r="J213" s="311">
        <v>0</v>
      </c>
      <c r="K213" s="311">
        <v>0</v>
      </c>
      <c r="L213" s="144">
        <f t="shared" si="296"/>
        <v>0</v>
      </c>
      <c r="M213" s="144">
        <f t="shared" si="297"/>
        <v>0</v>
      </c>
      <c r="N213" s="144">
        <f t="shared" si="298"/>
        <v>0</v>
      </c>
      <c r="O213" s="144">
        <f t="shared" si="299"/>
        <v>0</v>
      </c>
      <c r="P213" s="144">
        <f t="shared" si="300"/>
        <v>0</v>
      </c>
      <c r="Q213" s="144">
        <f t="shared" si="301"/>
        <v>0</v>
      </c>
      <c r="R213" s="144">
        <f t="shared" si="302"/>
        <v>0</v>
      </c>
      <c r="S213" s="144">
        <f t="shared" si="303"/>
        <v>0</v>
      </c>
      <c r="T213" s="144">
        <f t="shared" si="304"/>
        <v>0</v>
      </c>
      <c r="U213" s="144">
        <f t="shared" si="305"/>
        <v>0</v>
      </c>
      <c r="V213" s="338">
        <f t="shared" si="306"/>
        <v>0</v>
      </c>
      <c r="W213" s="338">
        <f t="shared" si="307"/>
        <v>0</v>
      </c>
      <c r="X213" s="338">
        <f t="shared" si="308"/>
        <v>0</v>
      </c>
      <c r="Y213" s="338">
        <f t="shared" si="309"/>
        <v>0</v>
      </c>
      <c r="Z213" s="338">
        <f t="shared" si="310"/>
        <v>0</v>
      </c>
      <c r="AA213" s="199">
        <v>1</v>
      </c>
      <c r="AB213" s="176">
        <v>3</v>
      </c>
      <c r="AC213" s="177">
        <v>0.25</v>
      </c>
      <c r="AD213" s="238">
        <f t="shared" si="311"/>
        <v>0</v>
      </c>
      <c r="AE213" s="238">
        <f t="shared" si="312"/>
        <v>0</v>
      </c>
      <c r="AF213" s="238">
        <f t="shared" si="313"/>
        <v>0</v>
      </c>
      <c r="AG213" s="238">
        <f>M213*VLOOKUP($AA213,'SKOR PPH'!$B$13:$D$21,3,FALSE)</f>
        <v>0</v>
      </c>
      <c r="AH213" s="238">
        <f>N213*VLOOKUP($AA213,'SKOR PPH'!$B$13:$D$21,3,FALSE)</f>
        <v>0</v>
      </c>
      <c r="AI213" s="238">
        <f>O213*VLOOKUP($AA213,'SKOR PPH'!$B$13:$D$21,3,FALSE)</f>
        <v>0</v>
      </c>
      <c r="AJ213" s="238">
        <f>P213*VLOOKUP($AA213,'SKOR PPH'!$B$13:$D$21,3,FALSE)</f>
        <v>0</v>
      </c>
      <c r="AK213" s="238">
        <f>$AD213*VLOOKUP($AA213,'SKOR PPH'!$B$13:$D$21,3,FALSE)</f>
        <v>0</v>
      </c>
      <c r="AL213" s="238">
        <f>R213*VLOOKUP($AA213,'SKOR PPH'!$B$13:$D$21,3,FALSE)</f>
        <v>0</v>
      </c>
      <c r="AM213" s="238">
        <f>S213*VLOOKUP($AA213,'SKOR PPH'!$B$13:$D$21,3,FALSE)</f>
        <v>0</v>
      </c>
      <c r="AN213" s="238">
        <f>T213*VLOOKUP($AA213,'SKOR PPH'!$B$13:$D$21,3,FALSE)</f>
        <v>0</v>
      </c>
      <c r="AO213" s="238">
        <f>U213*VLOOKUP($AA213,'SKOR PPH'!$B$13:$D$21,3,FALSE)</f>
        <v>0</v>
      </c>
      <c r="AP213" s="238">
        <f>$AE213*VLOOKUP($AA213,'SKOR PPH'!$B$13:$D$21,3,FALSE)</f>
        <v>0</v>
      </c>
      <c r="AQ213" s="238">
        <f>W213*VLOOKUP($AA213,'SKOR PPH'!$B$13:$D$21,3,FALSE)</f>
        <v>0</v>
      </c>
      <c r="AR213" s="238">
        <f>X213*VLOOKUP($AA213,'SKOR PPH'!$B$13:$D$21,3,FALSE)</f>
        <v>0</v>
      </c>
      <c r="AS213" s="238">
        <f>Y213*VLOOKUP($AA213,'SKOR PPH'!$B$13:$D$21,3,FALSE)</f>
        <v>0</v>
      </c>
      <c r="AT213" s="238">
        <f>Z213*VLOOKUP($AA213,'SKOR PPH'!$B$13:$D$21,3,FALSE)</f>
        <v>0</v>
      </c>
      <c r="AU213" s="238">
        <f>$AF213*VLOOKUP($AA213,'SKOR PPH'!$B$13:$D$21,3,FALSE)</f>
        <v>0</v>
      </c>
    </row>
    <row r="214" spans="2:47" ht="15" customHeight="1" x14ac:dyDescent="0.2">
      <c r="B214" s="199" t="s">
        <v>118</v>
      </c>
      <c r="C214" s="212">
        <v>100</v>
      </c>
      <c r="D214" s="149">
        <v>360</v>
      </c>
      <c r="E214" s="243">
        <v>4.7</v>
      </c>
      <c r="F214" s="149">
        <v>1</v>
      </c>
      <c r="G214" s="261">
        <v>82.1</v>
      </c>
      <c r="H214" s="208" t="s">
        <v>36</v>
      </c>
      <c r="I214" s="311">
        <v>0</v>
      </c>
      <c r="J214" s="311">
        <v>0</v>
      </c>
      <c r="K214" s="311">
        <v>0</v>
      </c>
      <c r="L214" s="144">
        <f t="shared" si="296"/>
        <v>0</v>
      </c>
      <c r="M214" s="144">
        <f t="shared" si="297"/>
        <v>0</v>
      </c>
      <c r="N214" s="144">
        <f t="shared" si="298"/>
        <v>0</v>
      </c>
      <c r="O214" s="144">
        <f t="shared" si="299"/>
        <v>0</v>
      </c>
      <c r="P214" s="144">
        <f t="shared" si="300"/>
        <v>0</v>
      </c>
      <c r="Q214" s="144">
        <f t="shared" si="301"/>
        <v>0</v>
      </c>
      <c r="R214" s="144">
        <f t="shared" si="302"/>
        <v>0</v>
      </c>
      <c r="S214" s="144">
        <f t="shared" si="303"/>
        <v>0</v>
      </c>
      <c r="T214" s="144">
        <f t="shared" si="304"/>
        <v>0</v>
      </c>
      <c r="U214" s="144">
        <f t="shared" si="305"/>
        <v>0</v>
      </c>
      <c r="V214" s="338">
        <f t="shared" si="306"/>
        <v>0</v>
      </c>
      <c r="W214" s="338">
        <f t="shared" si="307"/>
        <v>0</v>
      </c>
      <c r="X214" s="338">
        <f t="shared" si="308"/>
        <v>0</v>
      </c>
      <c r="Y214" s="338">
        <f t="shared" si="309"/>
        <v>0</v>
      </c>
      <c r="Z214" s="338">
        <f t="shared" si="310"/>
        <v>0</v>
      </c>
      <c r="AA214" s="215">
        <v>1</v>
      </c>
      <c r="AB214" s="215">
        <v>1</v>
      </c>
      <c r="AC214" s="177">
        <v>1</v>
      </c>
      <c r="AD214" s="238">
        <f t="shared" si="311"/>
        <v>0</v>
      </c>
      <c r="AE214" s="238">
        <f t="shared" si="312"/>
        <v>0</v>
      </c>
      <c r="AF214" s="238">
        <f t="shared" si="313"/>
        <v>0</v>
      </c>
      <c r="AG214" s="255">
        <f>M214*VLOOKUP($AA214,'SKOR PPH'!$B$13:$D$21,3,FALSE)</f>
        <v>0</v>
      </c>
      <c r="AH214" s="238">
        <f>N214*VLOOKUP($AA214,'SKOR PPH'!$B$13:$D$21,3,FALSE)</f>
        <v>0</v>
      </c>
      <c r="AI214" s="238">
        <f>O214*VLOOKUP($AA214,'SKOR PPH'!$B$13:$D$21,3,FALSE)</f>
        <v>0</v>
      </c>
      <c r="AJ214" s="238">
        <f>P214*VLOOKUP($AA214,'SKOR PPH'!$B$13:$D$21,3,FALSE)</f>
        <v>0</v>
      </c>
      <c r="AK214" s="238">
        <f>$AD214*VLOOKUP($AA214,'SKOR PPH'!$B$13:$D$21,3,FALSE)</f>
        <v>0</v>
      </c>
      <c r="AL214" s="255">
        <f>R214*VLOOKUP($AA214,'SKOR PPH'!$B$13:$D$21,3,FALSE)</f>
        <v>0</v>
      </c>
      <c r="AM214" s="238">
        <f>S214*VLOOKUP($AA214,'SKOR PPH'!$B$13:$D$21,3,FALSE)</f>
        <v>0</v>
      </c>
      <c r="AN214" s="238">
        <f>T214*VLOOKUP($AA214,'SKOR PPH'!$B$13:$D$21,3,FALSE)</f>
        <v>0</v>
      </c>
      <c r="AO214" s="238">
        <f>U214*VLOOKUP($AA214,'SKOR PPH'!$B$13:$D$21,3,FALSE)</f>
        <v>0</v>
      </c>
      <c r="AP214" s="238">
        <f>$AE214*VLOOKUP($AA214,'SKOR PPH'!$B$13:$D$21,3,FALSE)</f>
        <v>0</v>
      </c>
      <c r="AQ214" s="255">
        <f>W214*VLOOKUP($AA214,'SKOR PPH'!$B$13:$D$21,3,FALSE)</f>
        <v>0</v>
      </c>
      <c r="AR214" s="238">
        <f>X214*VLOOKUP($AA214,'SKOR PPH'!$B$13:$D$21,3,FALSE)</f>
        <v>0</v>
      </c>
      <c r="AS214" s="238">
        <f>Y214*VLOOKUP($AA214,'SKOR PPH'!$B$13:$D$21,3,FALSE)</f>
        <v>0</v>
      </c>
      <c r="AT214" s="238">
        <f>Z214*VLOOKUP($AA214,'SKOR PPH'!$B$13:$D$21,3,FALSE)</f>
        <v>0</v>
      </c>
      <c r="AU214" s="238">
        <f>$AF214*VLOOKUP($AA214,'SKOR PPH'!$B$13:$D$21,3,FALSE)</f>
        <v>0</v>
      </c>
    </row>
    <row r="215" spans="2:47" ht="15" customHeight="1" x14ac:dyDescent="0.2">
      <c r="B215" s="199" t="s">
        <v>119</v>
      </c>
      <c r="C215" s="212">
        <v>100</v>
      </c>
      <c r="D215" s="149">
        <v>350</v>
      </c>
      <c r="E215" s="243">
        <v>8.3000000000000007</v>
      </c>
      <c r="F215" s="149">
        <v>6.1</v>
      </c>
      <c r="G215" s="261">
        <v>64.349999999999994</v>
      </c>
      <c r="H215" s="208" t="s">
        <v>36</v>
      </c>
      <c r="I215" s="311">
        <v>0</v>
      </c>
      <c r="J215" s="311">
        <v>0</v>
      </c>
      <c r="K215" s="311">
        <v>0</v>
      </c>
      <c r="L215" s="144">
        <f t="shared" si="296"/>
        <v>0</v>
      </c>
      <c r="M215" s="144">
        <f t="shared" si="297"/>
        <v>0</v>
      </c>
      <c r="N215" s="144">
        <f t="shared" si="298"/>
        <v>0</v>
      </c>
      <c r="O215" s="144">
        <f t="shared" si="299"/>
        <v>0</v>
      </c>
      <c r="P215" s="144">
        <f t="shared" si="300"/>
        <v>0</v>
      </c>
      <c r="Q215" s="144">
        <f t="shared" si="301"/>
        <v>0</v>
      </c>
      <c r="R215" s="144">
        <f t="shared" si="302"/>
        <v>0</v>
      </c>
      <c r="S215" s="144">
        <f t="shared" si="303"/>
        <v>0</v>
      </c>
      <c r="T215" s="144">
        <f t="shared" si="304"/>
        <v>0</v>
      </c>
      <c r="U215" s="144">
        <f t="shared" si="305"/>
        <v>0</v>
      </c>
      <c r="V215" s="338">
        <f t="shared" si="306"/>
        <v>0</v>
      </c>
      <c r="W215" s="338">
        <f t="shared" si="307"/>
        <v>0</v>
      </c>
      <c r="X215" s="338">
        <f t="shared" si="308"/>
        <v>0</v>
      </c>
      <c r="Y215" s="338">
        <f t="shared" si="309"/>
        <v>0</v>
      </c>
      <c r="Z215" s="338">
        <f t="shared" si="310"/>
        <v>0</v>
      </c>
      <c r="AA215" s="199">
        <v>1</v>
      </c>
      <c r="AB215" s="176">
        <v>3</v>
      </c>
      <c r="AC215" s="177">
        <v>0.92</v>
      </c>
      <c r="AD215" s="238">
        <f t="shared" si="311"/>
        <v>0</v>
      </c>
      <c r="AE215" s="238">
        <f t="shared" si="312"/>
        <v>0</v>
      </c>
      <c r="AF215" s="238">
        <f t="shared" si="313"/>
        <v>0</v>
      </c>
      <c r="AG215" s="238">
        <f>M215*VLOOKUP($AA215,'SKOR PPH'!$B$13:$D$21,3,FALSE)</f>
        <v>0</v>
      </c>
      <c r="AH215" s="238">
        <f>N215*VLOOKUP($AA215,'SKOR PPH'!$B$13:$D$21,3,FALSE)</f>
        <v>0</v>
      </c>
      <c r="AI215" s="238">
        <f>O215*VLOOKUP($AA215,'SKOR PPH'!$B$13:$D$21,3,FALSE)</f>
        <v>0</v>
      </c>
      <c r="AJ215" s="238">
        <f>P215*VLOOKUP($AA215,'SKOR PPH'!$B$13:$D$21,3,FALSE)</f>
        <v>0</v>
      </c>
      <c r="AK215" s="238">
        <f>$AD215*VLOOKUP($AA215,'SKOR PPH'!$B$13:$D$21,3,FALSE)</f>
        <v>0</v>
      </c>
      <c r="AL215" s="238">
        <f>R215*VLOOKUP($AA215,'SKOR PPH'!$B$13:$D$21,3,FALSE)</f>
        <v>0</v>
      </c>
      <c r="AM215" s="238">
        <f>S215*VLOOKUP($AA215,'SKOR PPH'!$B$13:$D$21,3,FALSE)</f>
        <v>0</v>
      </c>
      <c r="AN215" s="238">
        <f>T215*VLOOKUP($AA215,'SKOR PPH'!$B$13:$D$21,3,FALSE)</f>
        <v>0</v>
      </c>
      <c r="AO215" s="238">
        <f>U215*VLOOKUP($AA215,'SKOR PPH'!$B$13:$D$21,3,FALSE)</f>
        <v>0</v>
      </c>
      <c r="AP215" s="238">
        <f>$AE215*VLOOKUP($AA215,'SKOR PPH'!$B$13:$D$21,3,FALSE)</f>
        <v>0</v>
      </c>
      <c r="AQ215" s="238">
        <f>W215*VLOOKUP($AA215,'SKOR PPH'!$B$13:$D$21,3,FALSE)</f>
        <v>0</v>
      </c>
      <c r="AR215" s="238">
        <f>X215*VLOOKUP($AA215,'SKOR PPH'!$B$13:$D$21,3,FALSE)</f>
        <v>0</v>
      </c>
      <c r="AS215" s="238">
        <f>Y215*VLOOKUP($AA215,'SKOR PPH'!$B$13:$D$21,3,FALSE)</f>
        <v>0</v>
      </c>
      <c r="AT215" s="238">
        <f>Z215*VLOOKUP($AA215,'SKOR PPH'!$B$13:$D$21,3,FALSE)</f>
        <v>0</v>
      </c>
      <c r="AU215" s="238">
        <f>$AF215*VLOOKUP($AA215,'SKOR PPH'!$B$13:$D$21,3,FALSE)</f>
        <v>0</v>
      </c>
    </row>
    <row r="216" spans="2:47" ht="15" customHeight="1" x14ac:dyDescent="0.2">
      <c r="B216" s="199" t="s">
        <v>113</v>
      </c>
      <c r="C216" s="207">
        <v>100</v>
      </c>
      <c r="D216" s="149">
        <v>453</v>
      </c>
      <c r="E216" s="243">
        <v>3.88</v>
      </c>
      <c r="F216" s="149">
        <v>17.850000000000001</v>
      </c>
      <c r="G216" s="261">
        <v>69.150000000000006</v>
      </c>
      <c r="H216" s="208" t="s">
        <v>36</v>
      </c>
      <c r="I216" s="311">
        <v>6.1403953419935913E-3</v>
      </c>
      <c r="J216" s="311">
        <v>4.7214238552523557E-3</v>
      </c>
      <c r="K216" s="311">
        <v>1.0861819197245945E-2</v>
      </c>
      <c r="L216" s="144">
        <f t="shared" si="296"/>
        <v>8.77199334570513E-2</v>
      </c>
      <c r="M216" s="144">
        <f t="shared" si="297"/>
        <v>0.3973712985604424</v>
      </c>
      <c r="N216" s="144">
        <f t="shared" si="298"/>
        <v>3.4035334181335905E-3</v>
      </c>
      <c r="O216" s="144">
        <f t="shared" si="299"/>
        <v>1.565800812208366E-2</v>
      </c>
      <c r="P216" s="144">
        <f t="shared" si="300"/>
        <v>6.0658333985550983E-2</v>
      </c>
      <c r="Q216" s="144">
        <f t="shared" si="301"/>
        <v>6.7448912217890802E-2</v>
      </c>
      <c r="R216" s="144">
        <f t="shared" si="302"/>
        <v>0.30554357234704532</v>
      </c>
      <c r="S216" s="144">
        <f t="shared" si="303"/>
        <v>2.6170177940541628E-3</v>
      </c>
      <c r="T216" s="144">
        <f t="shared" si="304"/>
        <v>1.2039630830893508E-2</v>
      </c>
      <c r="U216" s="144">
        <f t="shared" si="305"/>
        <v>4.6640922798671491E-2</v>
      </c>
      <c r="V216" s="338">
        <f t="shared" si="306"/>
        <v>0.15516884567494207</v>
      </c>
      <c r="W216" s="338">
        <f t="shared" si="307"/>
        <v>0.70291487090748761</v>
      </c>
      <c r="X216" s="338">
        <f t="shared" si="308"/>
        <v>6.0205512121877525E-3</v>
      </c>
      <c r="Y216" s="338">
        <f t="shared" si="309"/>
        <v>2.7697638952977163E-2</v>
      </c>
      <c r="Z216" s="338">
        <f t="shared" si="310"/>
        <v>0.10729925678422246</v>
      </c>
      <c r="AA216" s="176">
        <v>2</v>
      </c>
      <c r="AB216" s="176">
        <v>4</v>
      </c>
      <c r="AC216" s="240">
        <v>4</v>
      </c>
      <c r="AD216" s="238">
        <f t="shared" si="311"/>
        <v>0.3508797338282052</v>
      </c>
      <c r="AE216" s="238">
        <f t="shared" si="312"/>
        <v>0.26979564887156321</v>
      </c>
      <c r="AF216" s="238">
        <f t="shared" si="313"/>
        <v>0.6206753826997683</v>
      </c>
      <c r="AG216" s="238">
        <f>M216*VLOOKUP($AA216,'SKOR PPH'!$B$13:$D$21,3,FALSE)</f>
        <v>0.38374146301981921</v>
      </c>
      <c r="AH216" s="238">
        <f>N216*VLOOKUP($AA216,'SKOR PPH'!$B$13:$D$21,3,FALSE)</f>
        <v>3.2867922218916086E-3</v>
      </c>
      <c r="AI216" s="238">
        <f>O216*VLOOKUP($AA216,'SKOR PPH'!$B$13:$D$21,3,FALSE)</f>
        <v>1.512093844349619E-2</v>
      </c>
      <c r="AJ216" s="238">
        <f>P216*VLOOKUP($AA216,'SKOR PPH'!$B$13:$D$21,3,FALSE)</f>
        <v>5.8577753129846581E-2</v>
      </c>
      <c r="AK216" s="238">
        <f>$AD216*VLOOKUP($AA216,'SKOR PPH'!$B$13:$D$21,3,FALSE)</f>
        <v>0.33884455895789778</v>
      </c>
      <c r="AL216" s="238">
        <f>R216*VLOOKUP($AA216,'SKOR PPH'!$B$13:$D$21,3,FALSE)</f>
        <v>0.29506342781554168</v>
      </c>
      <c r="AM216" s="238">
        <f>S216*VLOOKUP($AA216,'SKOR PPH'!$B$13:$D$21,3,FALSE)</f>
        <v>2.527254083718105E-3</v>
      </c>
      <c r="AN216" s="238">
        <f>T216*VLOOKUP($AA216,'SKOR PPH'!$B$13:$D$21,3,FALSE)</f>
        <v>1.162667149339386E-2</v>
      </c>
      <c r="AO216" s="238">
        <f>U216*VLOOKUP($AA216,'SKOR PPH'!$B$13:$D$21,3,FALSE)</f>
        <v>4.504113914667706E-2</v>
      </c>
      <c r="AP216" s="238">
        <f>$AE216*VLOOKUP($AA216,'SKOR PPH'!$B$13:$D$21,3,FALSE)</f>
        <v>0.26054165811526858</v>
      </c>
      <c r="AQ216" s="238">
        <f>W216*VLOOKUP($AA216,'SKOR PPH'!$B$13:$D$21,3,FALSE)</f>
        <v>0.67880489083536077</v>
      </c>
      <c r="AR216" s="238">
        <f>X216*VLOOKUP($AA216,'SKOR PPH'!$B$13:$D$21,3,FALSE)</f>
        <v>5.8140463056097127E-3</v>
      </c>
      <c r="AS216" s="238">
        <f>Y216*VLOOKUP($AA216,'SKOR PPH'!$B$13:$D$21,3,FALSE)</f>
        <v>2.6747609936890047E-2</v>
      </c>
      <c r="AT216" s="238">
        <f>Z216*VLOOKUP($AA216,'SKOR PPH'!$B$13:$D$21,3,FALSE)</f>
        <v>0.10361889227652363</v>
      </c>
      <c r="AU216" s="238">
        <f>$AF216*VLOOKUP($AA216,'SKOR PPH'!$B$13:$D$21,3,FALSE)</f>
        <v>0.59938621707316619</v>
      </c>
    </row>
    <row r="217" spans="2:47" ht="15" customHeight="1" x14ac:dyDescent="0.2">
      <c r="B217" s="199" t="s">
        <v>114</v>
      </c>
      <c r="C217" s="207">
        <v>100</v>
      </c>
      <c r="D217" s="149">
        <v>460</v>
      </c>
      <c r="E217" s="243">
        <v>11.02</v>
      </c>
      <c r="F217" s="149">
        <v>20.399999999999999</v>
      </c>
      <c r="G217" s="261">
        <v>61.72</v>
      </c>
      <c r="H217" s="208" t="s">
        <v>36</v>
      </c>
      <c r="I217" s="311">
        <v>0</v>
      </c>
      <c r="J217" s="311">
        <v>0</v>
      </c>
      <c r="K217" s="311">
        <v>0</v>
      </c>
      <c r="L217" s="144">
        <f t="shared" si="296"/>
        <v>0</v>
      </c>
      <c r="M217" s="144">
        <f t="shared" si="297"/>
        <v>0</v>
      </c>
      <c r="N217" s="144">
        <f t="shared" si="298"/>
        <v>0</v>
      </c>
      <c r="O217" s="144">
        <f t="shared" si="299"/>
        <v>0</v>
      </c>
      <c r="P217" s="144">
        <f t="shared" si="300"/>
        <v>0</v>
      </c>
      <c r="Q217" s="144">
        <f t="shared" si="301"/>
        <v>0</v>
      </c>
      <c r="R217" s="144">
        <f t="shared" si="302"/>
        <v>0</v>
      </c>
      <c r="S217" s="144">
        <f t="shared" si="303"/>
        <v>0</v>
      </c>
      <c r="T217" s="144">
        <f t="shared" si="304"/>
        <v>0</v>
      </c>
      <c r="U217" s="144">
        <f t="shared" si="305"/>
        <v>0</v>
      </c>
      <c r="V217" s="338">
        <f t="shared" si="306"/>
        <v>0</v>
      </c>
      <c r="W217" s="338">
        <f t="shared" si="307"/>
        <v>0</v>
      </c>
      <c r="X217" s="338">
        <f t="shared" si="308"/>
        <v>0</v>
      </c>
      <c r="Y217" s="338">
        <f t="shared" si="309"/>
        <v>0</v>
      </c>
      <c r="Z217" s="338">
        <f t="shared" si="310"/>
        <v>0</v>
      </c>
      <c r="AA217" s="199">
        <v>8</v>
      </c>
      <c r="AB217" s="176">
        <v>25</v>
      </c>
      <c r="AC217" s="177">
        <v>1</v>
      </c>
      <c r="AD217" s="238">
        <f t="shared" si="311"/>
        <v>0</v>
      </c>
      <c r="AE217" s="238">
        <f t="shared" si="312"/>
        <v>0</v>
      </c>
      <c r="AF217" s="238">
        <f t="shared" si="313"/>
        <v>0</v>
      </c>
      <c r="AG217" s="238">
        <f>M217*VLOOKUP($AA217,'SKOR PPH'!$B$13:$D$21,3,FALSE)</f>
        <v>0</v>
      </c>
      <c r="AH217" s="238">
        <f>N217*VLOOKUP($AA217,'SKOR PPH'!$B$13:$D$21,3,FALSE)</f>
        <v>0</v>
      </c>
      <c r="AI217" s="238">
        <f>O217*VLOOKUP($AA217,'SKOR PPH'!$B$13:$D$21,3,FALSE)</f>
        <v>0</v>
      </c>
      <c r="AJ217" s="238">
        <f>P217*VLOOKUP($AA217,'SKOR PPH'!$B$13:$D$21,3,FALSE)</f>
        <v>0</v>
      </c>
      <c r="AK217" s="238">
        <f>$AD217*VLOOKUP($AA217,'SKOR PPH'!$B$13:$D$21,3,FALSE)</f>
        <v>0</v>
      </c>
      <c r="AL217" s="238">
        <f>R217*VLOOKUP($AA217,'SKOR PPH'!$B$13:$D$21,3,FALSE)</f>
        <v>0</v>
      </c>
      <c r="AM217" s="238">
        <f>S217*VLOOKUP($AA217,'SKOR PPH'!$B$13:$D$21,3,FALSE)</f>
        <v>0</v>
      </c>
      <c r="AN217" s="238">
        <f>T217*VLOOKUP($AA217,'SKOR PPH'!$B$13:$D$21,3,FALSE)</f>
        <v>0</v>
      </c>
      <c r="AO217" s="238">
        <f>U217*VLOOKUP($AA217,'SKOR PPH'!$B$13:$D$21,3,FALSE)</f>
        <v>0</v>
      </c>
      <c r="AP217" s="238">
        <f>$AE217*VLOOKUP($AA217,'SKOR PPH'!$B$13:$D$21,3,FALSE)</f>
        <v>0</v>
      </c>
      <c r="AQ217" s="238">
        <f>W217*VLOOKUP($AA217,'SKOR PPH'!$B$13:$D$21,3,FALSE)</f>
        <v>0</v>
      </c>
      <c r="AR217" s="238">
        <f>X217*VLOOKUP($AA217,'SKOR PPH'!$B$13:$D$21,3,FALSE)</f>
        <v>0</v>
      </c>
      <c r="AS217" s="238">
        <f>Y217*VLOOKUP($AA217,'SKOR PPH'!$B$13:$D$21,3,FALSE)</f>
        <v>0</v>
      </c>
      <c r="AT217" s="238">
        <f>Z217*VLOOKUP($AA217,'SKOR PPH'!$B$13:$D$21,3,FALSE)</f>
        <v>0</v>
      </c>
      <c r="AU217" s="238">
        <f>$AF217*VLOOKUP($AA217,'SKOR PPH'!$B$13:$D$21,3,FALSE)</f>
        <v>0</v>
      </c>
    </row>
    <row r="218" spans="2:47" ht="15" customHeight="1" x14ac:dyDescent="0.2">
      <c r="B218" s="199" t="s">
        <v>120</v>
      </c>
      <c r="C218" s="212">
        <v>7</v>
      </c>
      <c r="D218" s="149">
        <v>1.47</v>
      </c>
      <c r="E218" s="243">
        <v>0.01</v>
      </c>
      <c r="F218" s="149">
        <v>0.01</v>
      </c>
      <c r="G218" s="261">
        <v>0.34</v>
      </c>
      <c r="H218" s="208" t="s">
        <v>121</v>
      </c>
      <c r="I218" s="311">
        <v>0</v>
      </c>
      <c r="J218" s="311">
        <v>0</v>
      </c>
      <c r="K218" s="311">
        <v>0</v>
      </c>
      <c r="L218" s="144">
        <f t="shared" si="296"/>
        <v>0</v>
      </c>
      <c r="M218" s="144">
        <f t="shared" si="297"/>
        <v>0</v>
      </c>
      <c r="N218" s="144">
        <f t="shared" si="298"/>
        <v>0</v>
      </c>
      <c r="O218" s="144">
        <f t="shared" si="299"/>
        <v>0</v>
      </c>
      <c r="P218" s="144">
        <f t="shared" si="300"/>
        <v>0</v>
      </c>
      <c r="Q218" s="144">
        <f t="shared" si="301"/>
        <v>0</v>
      </c>
      <c r="R218" s="144">
        <f t="shared" si="302"/>
        <v>0</v>
      </c>
      <c r="S218" s="144">
        <f t="shared" si="303"/>
        <v>0</v>
      </c>
      <c r="T218" s="144">
        <f t="shared" si="304"/>
        <v>0</v>
      </c>
      <c r="U218" s="144">
        <f t="shared" si="305"/>
        <v>0</v>
      </c>
      <c r="V218" s="338">
        <f t="shared" si="306"/>
        <v>0</v>
      </c>
      <c r="W218" s="338">
        <f t="shared" si="307"/>
        <v>0</v>
      </c>
      <c r="X218" s="338">
        <f t="shared" si="308"/>
        <v>0</v>
      </c>
      <c r="Y218" s="338">
        <f t="shared" si="309"/>
        <v>0</v>
      </c>
      <c r="Z218" s="338">
        <f t="shared" si="310"/>
        <v>0</v>
      </c>
      <c r="AA218" s="199">
        <v>9</v>
      </c>
      <c r="AB218" s="176">
        <v>27</v>
      </c>
      <c r="AC218" s="240">
        <v>1</v>
      </c>
      <c r="AD218" s="238">
        <f t="shared" si="311"/>
        <v>0</v>
      </c>
      <c r="AE218" s="238">
        <f t="shared" si="312"/>
        <v>0</v>
      </c>
      <c r="AF218" s="238">
        <f t="shared" si="313"/>
        <v>0</v>
      </c>
      <c r="AG218" s="256">
        <f>M218*VLOOKUP($AA218,'SKOR PPH'!$B$13:$D$21,3,FALSE)</f>
        <v>0</v>
      </c>
      <c r="AH218" s="238">
        <f>N218*VLOOKUP($AA218,'SKOR PPH'!$B$13:$D$21,3,FALSE)</f>
        <v>0</v>
      </c>
      <c r="AI218" s="238">
        <f>O218*VLOOKUP($AA218,'SKOR PPH'!$B$13:$D$21,3,FALSE)</f>
        <v>0</v>
      </c>
      <c r="AJ218" s="238">
        <f>P218*VLOOKUP($AA218,'SKOR PPH'!$B$13:$D$21,3,FALSE)</f>
        <v>0</v>
      </c>
      <c r="AK218" s="238">
        <f>$AD218*VLOOKUP($AA218,'SKOR PPH'!$B$13:$D$21,3,FALSE)</f>
        <v>0</v>
      </c>
      <c r="AL218" s="256">
        <f>R218*VLOOKUP($AA218,'SKOR PPH'!$B$13:$D$21,3,FALSE)</f>
        <v>0</v>
      </c>
      <c r="AM218" s="238">
        <f>S218*VLOOKUP($AA218,'SKOR PPH'!$B$13:$D$21,3,FALSE)</f>
        <v>0</v>
      </c>
      <c r="AN218" s="238">
        <f>T218*VLOOKUP($AA218,'SKOR PPH'!$B$13:$D$21,3,FALSE)</f>
        <v>0</v>
      </c>
      <c r="AO218" s="238">
        <f>U218*VLOOKUP($AA218,'SKOR PPH'!$B$13:$D$21,3,FALSE)</f>
        <v>0</v>
      </c>
      <c r="AP218" s="238">
        <f>$AE218*VLOOKUP($AA218,'SKOR PPH'!$B$13:$D$21,3,FALSE)</f>
        <v>0</v>
      </c>
      <c r="AQ218" s="256">
        <f>W218*VLOOKUP($AA218,'SKOR PPH'!$B$13:$D$21,3,FALSE)</f>
        <v>0</v>
      </c>
      <c r="AR218" s="238">
        <f>X218*VLOOKUP($AA218,'SKOR PPH'!$B$13:$D$21,3,FALSE)</f>
        <v>0</v>
      </c>
      <c r="AS218" s="238">
        <f>Y218*VLOOKUP($AA218,'SKOR PPH'!$B$13:$D$21,3,FALSE)</f>
        <v>0</v>
      </c>
      <c r="AT218" s="238">
        <f>Z218*VLOOKUP($AA218,'SKOR PPH'!$B$13:$D$21,3,FALSE)</f>
        <v>0</v>
      </c>
      <c r="AU218" s="238">
        <f>$AF218*VLOOKUP($AA218,'SKOR PPH'!$B$13:$D$21,3,FALSE)</f>
        <v>0</v>
      </c>
    </row>
    <row r="219" spans="2:47" ht="15" customHeight="1" x14ac:dyDescent="0.2">
      <c r="B219" s="199" t="s">
        <v>122</v>
      </c>
      <c r="C219" s="212">
        <v>150</v>
      </c>
      <c r="D219" s="149">
        <v>277.10000000000002</v>
      </c>
      <c r="E219" s="243">
        <v>9.9600000000000009</v>
      </c>
      <c r="F219" s="149">
        <v>5.0999999999999996</v>
      </c>
      <c r="G219" s="261">
        <v>47.84</v>
      </c>
      <c r="H219" s="208" t="s">
        <v>123</v>
      </c>
      <c r="I219" s="311">
        <v>5.6141781830986164E-4</v>
      </c>
      <c r="J219" s="311">
        <v>3.9740363703592565E-3</v>
      </c>
      <c r="K219" s="311">
        <v>4.5354541886691181E-3</v>
      </c>
      <c r="L219" s="144">
        <f t="shared" si="296"/>
        <v>1.2030381820925607E-2</v>
      </c>
      <c r="M219" s="144">
        <f t="shared" si="297"/>
        <v>2.222412535052324E-2</v>
      </c>
      <c r="N219" s="144">
        <f t="shared" si="298"/>
        <v>7.988173529094604E-4</v>
      </c>
      <c r="O219" s="144">
        <f t="shared" si="299"/>
        <v>4.0903298191147063E-4</v>
      </c>
      <c r="P219" s="144">
        <f t="shared" si="300"/>
        <v>3.8368897754205403E-3</v>
      </c>
      <c r="Q219" s="144">
        <f t="shared" si="301"/>
        <v>8.5157922221984067E-2</v>
      </c>
      <c r="R219" s="144">
        <f t="shared" si="302"/>
        <v>0.15731506831807859</v>
      </c>
      <c r="S219" s="144">
        <f t="shared" si="303"/>
        <v>5.6544860355397433E-3</v>
      </c>
      <c r="T219" s="144">
        <f t="shared" si="304"/>
        <v>2.8953693555474583E-3</v>
      </c>
      <c r="U219" s="144">
        <f t="shared" si="305"/>
        <v>2.7159699993998119E-2</v>
      </c>
      <c r="V219" s="338">
        <f t="shared" si="306"/>
        <v>9.7188304042909679E-2</v>
      </c>
      <c r="W219" s="338">
        <f t="shared" si="307"/>
        <v>0.1795391936686018</v>
      </c>
      <c r="X219" s="338">
        <f t="shared" si="308"/>
        <v>6.453303388449203E-3</v>
      </c>
      <c r="Y219" s="338">
        <f t="shared" si="309"/>
        <v>3.304402337458929E-3</v>
      </c>
      <c r="Z219" s="338">
        <f t="shared" si="310"/>
        <v>3.0996589769418659E-2</v>
      </c>
      <c r="AA219" s="199">
        <v>1</v>
      </c>
      <c r="AB219" s="176">
        <v>1</v>
      </c>
      <c r="AC219" s="177">
        <v>1</v>
      </c>
      <c r="AD219" s="238">
        <f t="shared" si="311"/>
        <v>1.2030381820925607E-2</v>
      </c>
      <c r="AE219" s="238">
        <f t="shared" si="312"/>
        <v>8.5157922221984067E-2</v>
      </c>
      <c r="AF219" s="238">
        <f t="shared" si="313"/>
        <v>9.7188304042909679E-2</v>
      </c>
      <c r="AG219" s="255">
        <f>M219*VLOOKUP($AA219,'SKOR PPH'!$B$13:$D$21,3,FALSE)</f>
        <v>2.3075309351448279E-2</v>
      </c>
      <c r="AH219" s="238">
        <f>N219*VLOOKUP($AA219,'SKOR PPH'!$B$13:$D$21,3,FALSE)</f>
        <v>8.2941205752589276E-4</v>
      </c>
      <c r="AI219" s="238">
        <f>O219*VLOOKUP($AA219,'SKOR PPH'!$B$13:$D$21,3,FALSE)</f>
        <v>4.2469894511867998E-4</v>
      </c>
      <c r="AJ219" s="238">
        <f>P219*VLOOKUP($AA219,'SKOR PPH'!$B$13:$D$21,3,FALSE)</f>
        <v>3.9838426538191469E-3</v>
      </c>
      <c r="AK219" s="238">
        <f>$AD219*VLOOKUP($AA219,'SKOR PPH'!$B$13:$D$21,3,FALSE)</f>
        <v>1.2491145444667057E-2</v>
      </c>
      <c r="AL219" s="255">
        <f>R219*VLOOKUP($AA219,'SKOR PPH'!$B$13:$D$21,3,FALSE)</f>
        <v>0.163340235434661</v>
      </c>
      <c r="AM219" s="238">
        <f>S219*VLOOKUP($AA219,'SKOR PPH'!$B$13:$D$21,3,FALSE)</f>
        <v>5.8710528507009158E-3</v>
      </c>
      <c r="AN219" s="238">
        <f>T219*VLOOKUP($AA219,'SKOR PPH'!$B$13:$D$21,3,FALSE)</f>
        <v>3.0062620018649257E-3</v>
      </c>
      <c r="AO219" s="238">
        <f>U219*VLOOKUP($AA219,'SKOR PPH'!$B$13:$D$21,3,FALSE)</f>
        <v>2.8199916503768248E-2</v>
      </c>
      <c r="AP219" s="238">
        <f>$AE219*VLOOKUP($AA219,'SKOR PPH'!$B$13:$D$21,3,FALSE)</f>
        <v>8.8419470643086057E-2</v>
      </c>
      <c r="AQ219" s="255">
        <f>W219*VLOOKUP($AA219,'SKOR PPH'!$B$13:$D$21,3,FALSE)</f>
        <v>0.18641554478610925</v>
      </c>
      <c r="AR219" s="238">
        <f>X219*VLOOKUP($AA219,'SKOR PPH'!$B$13:$D$21,3,FALSE)</f>
        <v>6.7004649082268077E-3</v>
      </c>
      <c r="AS219" s="238">
        <f>Y219*VLOOKUP($AA219,'SKOR PPH'!$B$13:$D$21,3,FALSE)</f>
        <v>3.4309609469836059E-3</v>
      </c>
      <c r="AT219" s="238">
        <f>Z219*VLOOKUP($AA219,'SKOR PPH'!$B$13:$D$21,3,FALSE)</f>
        <v>3.2183759157587394E-2</v>
      </c>
      <c r="AU219" s="238">
        <f>$AF219*VLOOKUP($AA219,'SKOR PPH'!$B$13:$D$21,3,FALSE)</f>
        <v>0.10091061608775312</v>
      </c>
    </row>
    <row r="220" spans="2:47" ht="15" customHeight="1" x14ac:dyDescent="0.2">
      <c r="B220" s="199" t="s">
        <v>33</v>
      </c>
      <c r="C220" s="212">
        <v>100</v>
      </c>
      <c r="D220" s="149">
        <v>345</v>
      </c>
      <c r="E220" s="243">
        <v>8.5</v>
      </c>
      <c r="F220" s="149">
        <v>2.2000000000000002</v>
      </c>
      <c r="G220" s="261">
        <v>78</v>
      </c>
      <c r="H220" s="208" t="s">
        <v>201</v>
      </c>
      <c r="I220" s="311"/>
      <c r="J220" s="311"/>
      <c r="K220" s="311"/>
      <c r="L220" s="144">
        <f t="shared" si="296"/>
        <v>0</v>
      </c>
      <c r="M220" s="144">
        <f t="shared" si="297"/>
        <v>0</v>
      </c>
      <c r="N220" s="144">
        <f t="shared" si="298"/>
        <v>0</v>
      </c>
      <c r="O220" s="144">
        <f t="shared" si="299"/>
        <v>0</v>
      </c>
      <c r="P220" s="144">
        <f t="shared" si="300"/>
        <v>0</v>
      </c>
      <c r="Q220" s="144">
        <f t="shared" si="301"/>
        <v>0</v>
      </c>
      <c r="R220" s="144">
        <f t="shared" si="302"/>
        <v>0</v>
      </c>
      <c r="S220" s="144">
        <f t="shared" si="303"/>
        <v>0</v>
      </c>
      <c r="T220" s="144">
        <f t="shared" si="304"/>
        <v>0</v>
      </c>
      <c r="U220" s="144">
        <f t="shared" si="305"/>
        <v>0</v>
      </c>
      <c r="V220" s="338">
        <f t="shared" si="306"/>
        <v>0</v>
      </c>
      <c r="W220" s="338">
        <f t="shared" si="307"/>
        <v>0</v>
      </c>
      <c r="X220" s="338">
        <f t="shared" si="308"/>
        <v>0</v>
      </c>
      <c r="Y220" s="338">
        <f t="shared" si="309"/>
        <v>0</v>
      </c>
      <c r="Z220" s="338">
        <f t="shared" si="310"/>
        <v>0</v>
      </c>
      <c r="AA220" s="176">
        <v>1</v>
      </c>
      <c r="AB220" s="176">
        <v>1</v>
      </c>
      <c r="AC220" s="177">
        <v>1</v>
      </c>
      <c r="AD220" s="238">
        <f t="shared" si="311"/>
        <v>0</v>
      </c>
      <c r="AE220" s="238">
        <f t="shared" si="312"/>
        <v>0</v>
      </c>
      <c r="AF220" s="238">
        <f t="shared" si="313"/>
        <v>0</v>
      </c>
      <c r="AG220" s="255">
        <f>M220*VLOOKUP($AA220,'SKOR PPH'!$B$13:$D$21,3,FALSE)</f>
        <v>0</v>
      </c>
      <c r="AH220" s="238">
        <f>N220*VLOOKUP($AA220,'SKOR PPH'!$B$13:$D$21,3,FALSE)</f>
        <v>0</v>
      </c>
      <c r="AI220" s="238">
        <f>O220*VLOOKUP($AA220,'SKOR PPH'!$B$13:$D$21,3,FALSE)</f>
        <v>0</v>
      </c>
      <c r="AJ220" s="238">
        <f>P220*VLOOKUP($AA220,'SKOR PPH'!$B$13:$D$21,3,FALSE)</f>
        <v>0</v>
      </c>
      <c r="AK220" s="238">
        <f>$AD220*VLOOKUP($AA220,'SKOR PPH'!$B$13:$D$21,3,FALSE)</f>
        <v>0</v>
      </c>
      <c r="AL220" s="255">
        <f>R220*VLOOKUP($AA220,'SKOR PPH'!$B$13:$D$21,3,FALSE)</f>
        <v>0</v>
      </c>
      <c r="AM220" s="238">
        <f>S220*VLOOKUP($AA220,'SKOR PPH'!$B$13:$D$21,3,FALSE)</f>
        <v>0</v>
      </c>
      <c r="AN220" s="238">
        <f>T220*VLOOKUP($AA220,'SKOR PPH'!$B$13:$D$21,3,FALSE)</f>
        <v>0</v>
      </c>
      <c r="AO220" s="238">
        <f>U220*VLOOKUP($AA220,'SKOR PPH'!$B$13:$D$21,3,FALSE)</f>
        <v>0</v>
      </c>
      <c r="AP220" s="238">
        <f>$AE220*VLOOKUP($AA220,'SKOR PPH'!$B$13:$D$21,3,FALSE)</f>
        <v>0</v>
      </c>
      <c r="AQ220" s="255">
        <f>W220*VLOOKUP($AA220,'SKOR PPH'!$B$13:$D$21,3,FALSE)</f>
        <v>0</v>
      </c>
      <c r="AR220" s="238">
        <f>X220*VLOOKUP($AA220,'SKOR PPH'!$B$13:$D$21,3,FALSE)</f>
        <v>0</v>
      </c>
      <c r="AS220" s="238">
        <f>Y220*VLOOKUP($AA220,'SKOR PPH'!$B$13:$D$21,3,FALSE)</f>
        <v>0</v>
      </c>
      <c r="AT220" s="238">
        <f>Z220*VLOOKUP($AA220,'SKOR PPH'!$B$13:$D$21,3,FALSE)</f>
        <v>0</v>
      </c>
      <c r="AU220" s="238">
        <f>$AF220*VLOOKUP($AA220,'SKOR PPH'!$B$13:$D$21,3,FALSE)</f>
        <v>0</v>
      </c>
    </row>
    <row r="221" spans="2:47" ht="15" customHeight="1" x14ac:dyDescent="0.2">
      <c r="B221" s="211"/>
      <c r="C221" s="187"/>
      <c r="D221" s="188"/>
      <c r="E221" s="248"/>
      <c r="F221" s="188"/>
      <c r="G221" s="188"/>
      <c r="H221" s="267"/>
      <c r="I221" s="314"/>
      <c r="J221" s="314"/>
      <c r="K221" s="314"/>
      <c r="L221" s="127"/>
      <c r="M221" s="182"/>
      <c r="N221" s="127"/>
      <c r="O221" s="189"/>
      <c r="P221" s="189"/>
      <c r="Q221" s="127"/>
      <c r="R221" s="182"/>
      <c r="S221" s="127"/>
      <c r="T221" s="189"/>
      <c r="U221" s="189"/>
      <c r="V221" s="127"/>
      <c r="W221" s="182"/>
      <c r="X221" s="127"/>
      <c r="Y221" s="189"/>
      <c r="Z221" s="189"/>
      <c r="AA221" s="190"/>
      <c r="AB221" s="190"/>
      <c r="AC221" s="191"/>
      <c r="AD221" s="236"/>
      <c r="AE221" s="236"/>
      <c r="AF221" s="236"/>
      <c r="AG221" s="236"/>
      <c r="AH221" s="236"/>
      <c r="AI221" s="236"/>
      <c r="AJ221" s="236"/>
      <c r="AK221" s="236"/>
      <c r="AL221" s="236"/>
      <c r="AM221" s="236"/>
      <c r="AN221" s="236"/>
      <c r="AO221" s="236"/>
      <c r="AP221" s="236"/>
      <c r="AQ221" s="236"/>
      <c r="AR221" s="236"/>
      <c r="AS221" s="236"/>
      <c r="AT221" s="236"/>
      <c r="AU221" s="236"/>
    </row>
    <row r="222" spans="2:47" ht="15" customHeight="1" x14ac:dyDescent="0.2">
      <c r="B222" s="186" t="s">
        <v>124</v>
      </c>
      <c r="C222" s="187"/>
      <c r="D222" s="188"/>
      <c r="E222" s="248"/>
      <c r="F222" s="188"/>
      <c r="G222" s="188"/>
      <c r="H222" s="267"/>
      <c r="I222" s="314"/>
      <c r="J222" s="314"/>
      <c r="K222" s="314"/>
      <c r="L222" s="170"/>
      <c r="M222" s="170"/>
      <c r="N222" s="170"/>
      <c r="O222" s="171"/>
      <c r="P222" s="171"/>
      <c r="Q222" s="170"/>
      <c r="R222" s="170"/>
      <c r="S222" s="170"/>
      <c r="T222" s="171"/>
      <c r="U222" s="171"/>
      <c r="V222" s="170"/>
      <c r="W222" s="170"/>
      <c r="X222" s="170"/>
      <c r="Y222" s="171"/>
      <c r="Z222" s="171"/>
      <c r="AA222" s="190"/>
      <c r="AB222" s="190"/>
      <c r="AC222" s="191"/>
      <c r="AD222" s="236"/>
      <c r="AE222" s="236"/>
      <c r="AF222" s="236"/>
      <c r="AG222" s="236"/>
      <c r="AH222" s="236"/>
      <c r="AI222" s="236"/>
      <c r="AJ222" s="236"/>
      <c r="AK222" s="236"/>
      <c r="AL222" s="236"/>
      <c r="AM222" s="236"/>
      <c r="AN222" s="236"/>
      <c r="AO222" s="236"/>
      <c r="AP222" s="236"/>
      <c r="AQ222" s="236"/>
      <c r="AR222" s="236"/>
      <c r="AS222" s="236"/>
      <c r="AT222" s="236"/>
      <c r="AU222" s="236"/>
    </row>
    <row r="223" spans="2:47" ht="15" customHeight="1" x14ac:dyDescent="0.2">
      <c r="B223" s="199" t="s">
        <v>267</v>
      </c>
      <c r="C223" s="212">
        <v>150</v>
      </c>
      <c r="D223" s="149">
        <v>248.5</v>
      </c>
      <c r="E223" s="243">
        <v>7.95</v>
      </c>
      <c r="F223" s="149">
        <v>1.35</v>
      </c>
      <c r="G223" s="261">
        <v>49.85</v>
      </c>
      <c r="H223" s="208" t="s">
        <v>125</v>
      </c>
      <c r="I223" s="311">
        <v>0.13723431713874754</v>
      </c>
      <c r="J223" s="311">
        <v>1.6274551240223176</v>
      </c>
      <c r="K223" s="311">
        <v>1.7646894411610639</v>
      </c>
      <c r="L223" s="144">
        <f t="shared" ref="L223:L250" si="314">$I223*C223/7</f>
        <v>2.9407353672588754</v>
      </c>
      <c r="M223" s="144">
        <f t="shared" ref="M223:M250" si="315">$I223*D223/7</f>
        <v>4.8718182584255372</v>
      </c>
      <c r="N223" s="144">
        <f t="shared" ref="N223:N250" si="316">$I223*E223/7</f>
        <v>0.15585897446472044</v>
      </c>
      <c r="O223" s="144">
        <f t="shared" ref="O223:O250" si="317">$I223*F223/7</f>
        <v>2.646661830532988E-2</v>
      </c>
      <c r="P223" s="144">
        <f t="shared" ref="P223:P250" si="318">$I223*G223/7</f>
        <v>0.97730438705236644</v>
      </c>
      <c r="Q223" s="144">
        <f t="shared" ref="Q223:Q250" si="319">$J223*C223/7</f>
        <v>34.874038371906806</v>
      </c>
      <c r="R223" s="144">
        <f t="shared" ref="R223:R250" si="320">$J223*D223/7</f>
        <v>57.77465690279228</v>
      </c>
      <c r="S223" s="144">
        <f t="shared" ref="S223:S250" si="321">$J223*E223/7</f>
        <v>1.8483240337110607</v>
      </c>
      <c r="T223" s="144">
        <f t="shared" ref="T223:T250" si="322">$J223*F223/7</f>
        <v>0.31386634534716124</v>
      </c>
      <c r="U223" s="144">
        <f t="shared" ref="U223:U250" si="323">$J223*G223/7</f>
        <v>11.589805418930363</v>
      </c>
      <c r="V223" s="338">
        <f t="shared" ref="V223:V250" si="324">$K223*C223/7</f>
        <v>37.814773739165659</v>
      </c>
      <c r="W223" s="338">
        <f t="shared" ref="W223:W250" si="325">$K223*D223/7</f>
        <v>62.646475161217765</v>
      </c>
      <c r="X223" s="338">
        <f t="shared" ref="X223:X250" si="326">$K223*E223/7</f>
        <v>2.0041830081757799</v>
      </c>
      <c r="Y223" s="338">
        <f t="shared" ref="Y223:Y250" si="327">$K223*F223/7</f>
        <v>0.34033296365249088</v>
      </c>
      <c r="Z223" s="338">
        <f t="shared" ref="Z223:Z250" si="328">$K223*G223/7</f>
        <v>12.567109805982721</v>
      </c>
      <c r="AA223" s="199">
        <v>1</v>
      </c>
      <c r="AB223" s="176">
        <v>3</v>
      </c>
      <c r="AC223" s="177">
        <v>0.68</v>
      </c>
      <c r="AD223" s="238">
        <f t="shared" ref="AD223:AD250" si="329">$L223*$AC223</f>
        <v>1.9997000497360353</v>
      </c>
      <c r="AE223" s="238">
        <f t="shared" ref="AE223:AE250" si="330">$Q223*$AC223</f>
        <v>23.71434609289663</v>
      </c>
      <c r="AF223" s="238">
        <f t="shared" ref="AF223:AF250" si="331">$V223*$AC223</f>
        <v>25.71404614263265</v>
      </c>
      <c r="AG223" s="238">
        <f>M223*VLOOKUP($AA223,'SKOR PPH'!$B$13:$D$21,3,FALSE)</f>
        <v>5.0584088977232353</v>
      </c>
      <c r="AH223" s="238">
        <f>N223*VLOOKUP($AA223,'SKOR PPH'!$B$13:$D$21,3,FALSE)</f>
        <v>0.16182837318671922</v>
      </c>
      <c r="AI223" s="238">
        <f>O223*VLOOKUP($AA223,'SKOR PPH'!$B$13:$D$21,3,FALSE)</f>
        <v>2.7480289786424014E-2</v>
      </c>
      <c r="AJ223" s="238">
        <f>P223*VLOOKUP($AA223,'SKOR PPH'!$B$13:$D$21,3,FALSE)</f>
        <v>1.0147351450764721</v>
      </c>
      <c r="AK223" s="238">
        <f>$AD223*VLOOKUP($AA223,'SKOR PPH'!$B$13:$D$21,3,FALSE)</f>
        <v>2.0762885616409257</v>
      </c>
      <c r="AL223" s="238">
        <f>R223*VLOOKUP($AA223,'SKOR PPH'!$B$13:$D$21,3,FALSE)</f>
        <v>59.987426262169222</v>
      </c>
      <c r="AM223" s="238">
        <f>S223*VLOOKUP($AA223,'SKOR PPH'!$B$13:$D$21,3,FALSE)</f>
        <v>1.9191148442021944</v>
      </c>
      <c r="AN223" s="238">
        <f>T223*VLOOKUP($AA223,'SKOR PPH'!$B$13:$D$21,3,FALSE)</f>
        <v>0.32588742637395751</v>
      </c>
      <c r="AO223" s="238">
        <f>U223*VLOOKUP($AA223,'SKOR PPH'!$B$13:$D$21,3,FALSE)</f>
        <v>12.033694966475396</v>
      </c>
      <c r="AP223" s="238">
        <f>$AE223*VLOOKUP($AA223,'SKOR PPH'!$B$13:$D$21,3,FALSE)</f>
        <v>24.622605548254572</v>
      </c>
      <c r="AQ223" s="238">
        <f>W223*VLOOKUP($AA223,'SKOR PPH'!$B$13:$D$21,3,FALSE)</f>
        <v>65.045835159892405</v>
      </c>
      <c r="AR223" s="238">
        <f>X223*VLOOKUP($AA223,'SKOR PPH'!$B$13:$D$21,3,FALSE)</f>
        <v>2.0809432173889122</v>
      </c>
      <c r="AS223" s="238">
        <f>Y223*VLOOKUP($AA223,'SKOR PPH'!$B$13:$D$21,3,FALSE)</f>
        <v>0.35336771616038126</v>
      </c>
      <c r="AT223" s="238">
        <f>Z223*VLOOKUP($AA223,'SKOR PPH'!$B$13:$D$21,3,FALSE)</f>
        <v>13.048430111551859</v>
      </c>
      <c r="AU223" s="238">
        <f>$AF223*VLOOKUP($AA223,'SKOR PPH'!$B$13:$D$21,3,FALSE)</f>
        <v>26.69889410989548</v>
      </c>
    </row>
    <row r="224" spans="2:47" ht="15" customHeight="1" x14ac:dyDescent="0.2">
      <c r="B224" s="199" t="s">
        <v>268</v>
      </c>
      <c r="C224" s="212">
        <v>30</v>
      </c>
      <c r="D224" s="149">
        <v>161.5</v>
      </c>
      <c r="E224" s="243">
        <v>2.4500000000000002</v>
      </c>
      <c r="F224" s="149">
        <v>5.75</v>
      </c>
      <c r="G224" s="261">
        <v>25.05</v>
      </c>
      <c r="H224" s="208" t="s">
        <v>126</v>
      </c>
      <c r="I224" s="311">
        <v>0</v>
      </c>
      <c r="J224" s="311">
        <v>0</v>
      </c>
      <c r="K224" s="311">
        <v>0</v>
      </c>
      <c r="L224" s="144">
        <f t="shared" si="314"/>
        <v>0</v>
      </c>
      <c r="M224" s="144">
        <f t="shared" si="315"/>
        <v>0</v>
      </c>
      <c r="N224" s="144">
        <f t="shared" si="316"/>
        <v>0</v>
      </c>
      <c r="O224" s="144">
        <f t="shared" si="317"/>
        <v>0</v>
      </c>
      <c r="P224" s="144">
        <f t="shared" si="318"/>
        <v>0</v>
      </c>
      <c r="Q224" s="144">
        <f t="shared" si="319"/>
        <v>0</v>
      </c>
      <c r="R224" s="144">
        <f t="shared" si="320"/>
        <v>0</v>
      </c>
      <c r="S224" s="144">
        <f t="shared" si="321"/>
        <v>0</v>
      </c>
      <c r="T224" s="144">
        <f t="shared" si="322"/>
        <v>0</v>
      </c>
      <c r="U224" s="144">
        <f t="shared" si="323"/>
        <v>0</v>
      </c>
      <c r="V224" s="338">
        <f t="shared" si="324"/>
        <v>0</v>
      </c>
      <c r="W224" s="338">
        <f t="shared" si="325"/>
        <v>0</v>
      </c>
      <c r="X224" s="338">
        <f t="shared" si="326"/>
        <v>0</v>
      </c>
      <c r="Y224" s="338">
        <f t="shared" si="327"/>
        <v>0</v>
      </c>
      <c r="Z224" s="338">
        <f t="shared" si="328"/>
        <v>0</v>
      </c>
      <c r="AA224" s="199">
        <v>1</v>
      </c>
      <c r="AB224" s="176">
        <v>3</v>
      </c>
      <c r="AC224" s="177">
        <v>0.68</v>
      </c>
      <c r="AD224" s="238">
        <f t="shared" si="329"/>
        <v>0</v>
      </c>
      <c r="AE224" s="238">
        <f t="shared" si="330"/>
        <v>0</v>
      </c>
      <c r="AF224" s="238">
        <f t="shared" si="331"/>
        <v>0</v>
      </c>
      <c r="AG224" s="238">
        <f>M224*VLOOKUP($AA224,'SKOR PPH'!$B$13:$D$21,3,FALSE)</f>
        <v>0</v>
      </c>
      <c r="AH224" s="238">
        <f>N224*VLOOKUP($AA224,'SKOR PPH'!$B$13:$D$21,3,FALSE)</f>
        <v>0</v>
      </c>
      <c r="AI224" s="238">
        <f>O224*VLOOKUP($AA224,'SKOR PPH'!$B$13:$D$21,3,FALSE)</f>
        <v>0</v>
      </c>
      <c r="AJ224" s="238">
        <f>P224*VLOOKUP($AA224,'SKOR PPH'!$B$13:$D$21,3,FALSE)</f>
        <v>0</v>
      </c>
      <c r="AK224" s="238">
        <f>$AD224*VLOOKUP($AA224,'SKOR PPH'!$B$13:$D$21,3,FALSE)</f>
        <v>0</v>
      </c>
      <c r="AL224" s="238">
        <f>R224*VLOOKUP($AA224,'SKOR PPH'!$B$13:$D$21,3,FALSE)</f>
        <v>0</v>
      </c>
      <c r="AM224" s="238">
        <f>S224*VLOOKUP($AA224,'SKOR PPH'!$B$13:$D$21,3,FALSE)</f>
        <v>0</v>
      </c>
      <c r="AN224" s="238">
        <f>T224*VLOOKUP($AA224,'SKOR PPH'!$B$13:$D$21,3,FALSE)</f>
        <v>0</v>
      </c>
      <c r="AO224" s="238">
        <f>U224*VLOOKUP($AA224,'SKOR PPH'!$B$13:$D$21,3,FALSE)</f>
        <v>0</v>
      </c>
      <c r="AP224" s="238">
        <f>$AE224*VLOOKUP($AA224,'SKOR PPH'!$B$13:$D$21,3,FALSE)</f>
        <v>0</v>
      </c>
      <c r="AQ224" s="238">
        <f>W224*VLOOKUP($AA224,'SKOR PPH'!$B$13:$D$21,3,FALSE)</f>
        <v>0</v>
      </c>
      <c r="AR224" s="238">
        <f>X224*VLOOKUP($AA224,'SKOR PPH'!$B$13:$D$21,3,FALSE)</f>
        <v>0</v>
      </c>
      <c r="AS224" s="238">
        <f>Y224*VLOOKUP($AA224,'SKOR PPH'!$B$13:$D$21,3,FALSE)</f>
        <v>0</v>
      </c>
      <c r="AT224" s="238">
        <f>Z224*VLOOKUP($AA224,'SKOR PPH'!$B$13:$D$21,3,FALSE)</f>
        <v>0</v>
      </c>
      <c r="AU224" s="238">
        <f>$AF224*VLOOKUP($AA224,'SKOR PPH'!$B$13:$D$21,3,FALSE)</f>
        <v>0</v>
      </c>
    </row>
    <row r="225" spans="2:47" ht="15" customHeight="1" x14ac:dyDescent="0.2">
      <c r="B225" s="199" t="s">
        <v>269</v>
      </c>
      <c r="C225" s="212">
        <v>100</v>
      </c>
      <c r="D225" s="149">
        <v>426.3</v>
      </c>
      <c r="E225" s="243">
        <v>6.19</v>
      </c>
      <c r="F225" s="149">
        <v>13.02</v>
      </c>
      <c r="G225" s="261">
        <v>72.239999999999995</v>
      </c>
      <c r="H225" s="208" t="s">
        <v>36</v>
      </c>
      <c r="I225" s="311">
        <v>2.0411106682197189E-2</v>
      </c>
      <c r="J225" s="311">
        <v>0.33110679881137522</v>
      </c>
      <c r="K225" s="311">
        <v>0.35151790549357242</v>
      </c>
      <c r="L225" s="144">
        <f t="shared" si="314"/>
        <v>0.2915872383171027</v>
      </c>
      <c r="M225" s="144">
        <f t="shared" si="315"/>
        <v>1.2430363969458089</v>
      </c>
      <c r="N225" s="144">
        <f t="shared" si="316"/>
        <v>1.8049250051828659E-2</v>
      </c>
      <c r="O225" s="144">
        <f t="shared" si="317"/>
        <v>3.7964658428886765E-2</v>
      </c>
      <c r="P225" s="144">
        <f t="shared" si="318"/>
        <v>0.21064262096027497</v>
      </c>
      <c r="Q225" s="144">
        <f t="shared" si="319"/>
        <v>4.7300971258767888</v>
      </c>
      <c r="R225" s="144">
        <f t="shared" si="320"/>
        <v>20.164404047612752</v>
      </c>
      <c r="S225" s="144">
        <f t="shared" si="321"/>
        <v>0.29279301209177327</v>
      </c>
      <c r="T225" s="144">
        <f t="shared" si="322"/>
        <v>0.61585864578915783</v>
      </c>
      <c r="U225" s="144">
        <f t="shared" si="323"/>
        <v>3.417022163733392</v>
      </c>
      <c r="V225" s="338">
        <f t="shared" si="324"/>
        <v>5.0216843641938924</v>
      </c>
      <c r="W225" s="338">
        <f t="shared" si="325"/>
        <v>21.407440444558564</v>
      </c>
      <c r="X225" s="338">
        <f t="shared" si="326"/>
        <v>0.31084226214360194</v>
      </c>
      <c r="Y225" s="338">
        <f t="shared" si="327"/>
        <v>0.65382330421804469</v>
      </c>
      <c r="Z225" s="338">
        <f t="shared" si="328"/>
        <v>3.6276647846936672</v>
      </c>
      <c r="AA225" s="199">
        <v>1</v>
      </c>
      <c r="AB225" s="176">
        <v>3</v>
      </c>
      <c r="AC225" s="177">
        <v>0.8</v>
      </c>
      <c r="AD225" s="238">
        <f t="shared" si="329"/>
        <v>0.23326979065368217</v>
      </c>
      <c r="AE225" s="238">
        <f t="shared" si="330"/>
        <v>3.784077700701431</v>
      </c>
      <c r="AF225" s="238">
        <f t="shared" si="331"/>
        <v>4.0173474913551139</v>
      </c>
      <c r="AG225" s="238">
        <f>M225*VLOOKUP($AA225,'SKOR PPH'!$B$13:$D$21,3,FALSE)</f>
        <v>1.2906446909488334</v>
      </c>
      <c r="AH225" s="238">
        <f>N225*VLOOKUP($AA225,'SKOR PPH'!$B$13:$D$21,3,FALSE)</f>
        <v>1.8740536328813697E-2</v>
      </c>
      <c r="AI225" s="238">
        <f>O225*VLOOKUP($AA225,'SKOR PPH'!$B$13:$D$21,3,FALSE)</f>
        <v>3.9418704846713129E-2</v>
      </c>
      <c r="AJ225" s="238">
        <f>P225*VLOOKUP($AA225,'SKOR PPH'!$B$13:$D$21,3,FALSE)</f>
        <v>0.21871023334305351</v>
      </c>
      <c r="AK225" s="238">
        <f>$AD225*VLOOKUP($AA225,'SKOR PPH'!$B$13:$D$21,3,FALSE)</f>
        <v>0.24220402363571819</v>
      </c>
      <c r="AL225" s="238">
        <f>R225*VLOOKUP($AA225,'SKOR PPH'!$B$13:$D$21,3,FALSE)</f>
        <v>20.936700722636321</v>
      </c>
      <c r="AM225" s="238">
        <f>S225*VLOOKUP($AA225,'SKOR PPH'!$B$13:$D$21,3,FALSE)</f>
        <v>0.30400698445488822</v>
      </c>
      <c r="AN225" s="238">
        <f>T225*VLOOKUP($AA225,'SKOR PPH'!$B$13:$D$21,3,FALSE)</f>
        <v>0.63944603192288263</v>
      </c>
      <c r="AO225" s="238">
        <f>U225*VLOOKUP($AA225,'SKOR PPH'!$B$13:$D$21,3,FALSE)</f>
        <v>3.5478941126043808</v>
      </c>
      <c r="AP225" s="238">
        <f>$AE225*VLOOKUP($AA225,'SKOR PPH'!$B$13:$D$21,3,FALSE)</f>
        <v>3.9290078766382956</v>
      </c>
      <c r="AQ225" s="238">
        <f>W225*VLOOKUP($AA225,'SKOR PPH'!$B$13:$D$21,3,FALSE)</f>
        <v>22.227345413585155</v>
      </c>
      <c r="AR225" s="238">
        <f>X225*VLOOKUP($AA225,'SKOR PPH'!$B$13:$D$21,3,FALSE)</f>
        <v>0.32274752078370189</v>
      </c>
      <c r="AS225" s="238">
        <f>Y225*VLOOKUP($AA225,'SKOR PPH'!$B$13:$D$21,3,FALSE)</f>
        <v>0.6788647367695958</v>
      </c>
      <c r="AT225" s="238">
        <f>Z225*VLOOKUP($AA225,'SKOR PPH'!$B$13:$D$21,3,FALSE)</f>
        <v>3.7666043459474348</v>
      </c>
      <c r="AU225" s="238">
        <f>$AF225*VLOOKUP($AA225,'SKOR PPH'!$B$13:$D$21,3,FALSE)</f>
        <v>4.1712119002740149</v>
      </c>
    </row>
    <row r="226" spans="2:47" ht="15" customHeight="1" x14ac:dyDescent="0.2">
      <c r="B226" s="199" t="s">
        <v>270</v>
      </c>
      <c r="C226" s="212">
        <v>30</v>
      </c>
      <c r="D226" s="149">
        <v>137.5</v>
      </c>
      <c r="E226" s="243">
        <v>1.96</v>
      </c>
      <c r="F226" s="149">
        <v>2.91</v>
      </c>
      <c r="G226" s="261">
        <v>25.91</v>
      </c>
      <c r="H226" s="208" t="s">
        <v>215</v>
      </c>
      <c r="I226" s="311">
        <v>8.8029354517887182E-2</v>
      </c>
      <c r="J226" s="311">
        <v>1.1879572828827627</v>
      </c>
      <c r="K226" s="311">
        <v>1.2759866374006494</v>
      </c>
      <c r="L226" s="144">
        <f t="shared" si="314"/>
        <v>0.37726866221951649</v>
      </c>
      <c r="M226" s="144">
        <f t="shared" si="315"/>
        <v>1.7291480351727839</v>
      </c>
      <c r="N226" s="144">
        <f t="shared" si="316"/>
        <v>2.464821926500841E-2</v>
      </c>
      <c r="O226" s="144">
        <f t="shared" si="317"/>
        <v>3.6595060235293096E-2</v>
      </c>
      <c r="P226" s="144">
        <f t="shared" si="318"/>
        <v>0.32583436793692239</v>
      </c>
      <c r="Q226" s="144">
        <f t="shared" si="319"/>
        <v>5.0912454980689832</v>
      </c>
      <c r="R226" s="144">
        <f t="shared" si="320"/>
        <v>23.334875199482838</v>
      </c>
      <c r="S226" s="144">
        <f t="shared" si="321"/>
        <v>0.33262803920717354</v>
      </c>
      <c r="T226" s="144">
        <f t="shared" si="322"/>
        <v>0.49385081331269137</v>
      </c>
      <c r="U226" s="144">
        <f t="shared" si="323"/>
        <v>4.3971390284989118</v>
      </c>
      <c r="V226" s="338">
        <f t="shared" si="324"/>
        <v>5.4685141602884979</v>
      </c>
      <c r="W226" s="338">
        <f t="shared" si="325"/>
        <v>25.064023234655615</v>
      </c>
      <c r="X226" s="338">
        <f t="shared" si="326"/>
        <v>0.35727625847218186</v>
      </c>
      <c r="Y226" s="338">
        <f t="shared" si="327"/>
        <v>0.53044587354798434</v>
      </c>
      <c r="Z226" s="338">
        <f t="shared" si="328"/>
        <v>4.7229733964358322</v>
      </c>
      <c r="AA226" s="199">
        <v>1</v>
      </c>
      <c r="AB226" s="176">
        <v>1</v>
      </c>
      <c r="AC226" s="177">
        <v>0.4</v>
      </c>
      <c r="AD226" s="238">
        <f t="shared" si="329"/>
        <v>0.1509074648878066</v>
      </c>
      <c r="AE226" s="238">
        <f t="shared" si="330"/>
        <v>2.0364981992275935</v>
      </c>
      <c r="AF226" s="238">
        <f t="shared" si="331"/>
        <v>2.1874056641153992</v>
      </c>
      <c r="AG226" s="255">
        <f>M226*VLOOKUP($AA226,'SKOR PPH'!$B$13:$D$21,3,FALSE)</f>
        <v>1.7953744049199016</v>
      </c>
      <c r="AH226" s="238">
        <f>N226*VLOOKUP($AA226,'SKOR PPH'!$B$13:$D$21,3,FALSE)</f>
        <v>2.5592246062858232E-2</v>
      </c>
      <c r="AI226" s="238">
        <f>O226*VLOOKUP($AA226,'SKOR PPH'!$B$13:$D$21,3,FALSE)</f>
        <v>3.7996651042304819E-2</v>
      </c>
      <c r="AJ226" s="238">
        <f>P226*VLOOKUP($AA226,'SKOR PPH'!$B$13:$D$21,3,FALSE)</f>
        <v>0.33831382422890649</v>
      </c>
      <c r="AK226" s="238">
        <f>$AD226*VLOOKUP($AA226,'SKOR PPH'!$B$13:$D$21,3,FALSE)</f>
        <v>0.15668722079300959</v>
      </c>
      <c r="AL226" s="255">
        <f>R226*VLOOKUP($AA226,'SKOR PPH'!$B$13:$D$21,3,FALSE)</f>
        <v>24.22860091962303</v>
      </c>
      <c r="AM226" s="238">
        <f>S226*VLOOKUP($AA226,'SKOR PPH'!$B$13:$D$21,3,FALSE)</f>
        <v>0.34536769310880827</v>
      </c>
      <c r="AN226" s="238">
        <f>T226*VLOOKUP($AA226,'SKOR PPH'!$B$13:$D$21,3,FALSE)</f>
        <v>0.51276529946256744</v>
      </c>
      <c r="AO226" s="238">
        <f>U226*VLOOKUP($AA226,'SKOR PPH'!$B$13:$D$21,3,FALSE)</f>
        <v>4.5655494532904202</v>
      </c>
      <c r="AP226" s="238">
        <f>$AE226*VLOOKUP($AA226,'SKOR PPH'!$B$13:$D$21,3,FALSE)</f>
        <v>2.1144960802580104</v>
      </c>
      <c r="AQ226" s="255">
        <f>W226*VLOOKUP($AA226,'SKOR PPH'!$B$13:$D$21,3,FALSE)</f>
        <v>26.023975324542924</v>
      </c>
      <c r="AR226" s="238">
        <f>X226*VLOOKUP($AA226,'SKOR PPH'!$B$13:$D$21,3,FALSE)</f>
        <v>0.37095993917166642</v>
      </c>
      <c r="AS226" s="238">
        <f>Y226*VLOOKUP($AA226,'SKOR PPH'!$B$13:$D$21,3,FALSE)</f>
        <v>0.55076195050487209</v>
      </c>
      <c r="AT226" s="238">
        <f>Z226*VLOOKUP($AA226,'SKOR PPH'!$B$13:$D$21,3,FALSE)</f>
        <v>4.9038632775193243</v>
      </c>
      <c r="AU226" s="238">
        <f>$AF226*VLOOKUP($AA226,'SKOR PPH'!$B$13:$D$21,3,FALSE)</f>
        <v>2.271183301051019</v>
      </c>
    </row>
    <row r="227" spans="2:47" ht="15" customHeight="1" x14ac:dyDescent="0.2">
      <c r="B227" s="199" t="s">
        <v>271</v>
      </c>
      <c r="C227" s="212">
        <v>40</v>
      </c>
      <c r="D227" s="149">
        <v>181</v>
      </c>
      <c r="E227" s="243">
        <v>4.9400000000000004</v>
      </c>
      <c r="F227" s="149">
        <v>10.35</v>
      </c>
      <c r="G227" s="261">
        <v>18.02</v>
      </c>
      <c r="H227" s="208" t="s">
        <v>126</v>
      </c>
      <c r="I227" s="311">
        <v>0.16020685735466372</v>
      </c>
      <c r="J227" s="311">
        <v>2.5183408308914554</v>
      </c>
      <c r="K227" s="311">
        <v>2.6785476882461183</v>
      </c>
      <c r="L227" s="144">
        <f t="shared" si="314"/>
        <v>0.91546775631236421</v>
      </c>
      <c r="M227" s="144">
        <f t="shared" si="315"/>
        <v>4.1424915973134473</v>
      </c>
      <c r="N227" s="144">
        <f t="shared" si="316"/>
        <v>0.11306026790457699</v>
      </c>
      <c r="O227" s="144">
        <f t="shared" si="317"/>
        <v>0.23687728194582422</v>
      </c>
      <c r="P227" s="144">
        <f t="shared" si="318"/>
        <v>0.41241822421872004</v>
      </c>
      <c r="Q227" s="144">
        <f t="shared" si="319"/>
        <v>14.390519033665459</v>
      </c>
      <c r="R227" s="144">
        <f t="shared" si="320"/>
        <v>65.117098627336205</v>
      </c>
      <c r="S227" s="144">
        <f t="shared" si="321"/>
        <v>1.7772291006576846</v>
      </c>
      <c r="T227" s="144">
        <f t="shared" si="322"/>
        <v>3.7235467999609377</v>
      </c>
      <c r="U227" s="144">
        <f t="shared" si="323"/>
        <v>6.4829288246662893</v>
      </c>
      <c r="V227" s="338">
        <f t="shared" si="324"/>
        <v>15.305986789977819</v>
      </c>
      <c r="W227" s="338">
        <f t="shared" si="325"/>
        <v>69.259590224649628</v>
      </c>
      <c r="X227" s="338">
        <f t="shared" si="326"/>
        <v>1.8902893685622608</v>
      </c>
      <c r="Y227" s="338">
        <f t="shared" si="327"/>
        <v>3.9604240819067607</v>
      </c>
      <c r="Z227" s="338">
        <f t="shared" si="328"/>
        <v>6.8953470488850073</v>
      </c>
      <c r="AA227" s="199">
        <v>1</v>
      </c>
      <c r="AB227" s="176">
        <v>3</v>
      </c>
      <c r="AC227" s="240">
        <v>0.2</v>
      </c>
      <c r="AD227" s="238">
        <f t="shared" si="329"/>
        <v>0.18309355126247284</v>
      </c>
      <c r="AE227" s="238">
        <f t="shared" si="330"/>
        <v>2.8781038067330922</v>
      </c>
      <c r="AF227" s="238">
        <f t="shared" si="331"/>
        <v>3.0611973579955638</v>
      </c>
      <c r="AG227" s="238">
        <f>M227*VLOOKUP($AA227,'SKOR PPH'!$B$13:$D$21,3,FALSE)</f>
        <v>4.3011490254905524</v>
      </c>
      <c r="AH227" s="238">
        <f>N227*VLOOKUP($AA227,'SKOR PPH'!$B$13:$D$21,3,FALSE)</f>
        <v>0.11739047616532229</v>
      </c>
      <c r="AI227" s="238">
        <f>O227*VLOOKUP($AA227,'SKOR PPH'!$B$13:$D$21,3,FALSE)</f>
        <v>0.24594968184434929</v>
      </c>
      <c r="AJ227" s="238">
        <f>P227*VLOOKUP($AA227,'SKOR PPH'!$B$13:$D$21,3,FALSE)</f>
        <v>0.42821384220629705</v>
      </c>
      <c r="AK227" s="238">
        <f>$AD227*VLOOKUP($AA227,'SKOR PPH'!$B$13:$D$21,3,FALSE)</f>
        <v>0.19010603427582556</v>
      </c>
      <c r="AL227" s="238">
        <f>R227*VLOOKUP($AA227,'SKOR PPH'!$B$13:$D$21,3,FALSE)</f>
        <v>67.611083504763187</v>
      </c>
      <c r="AM227" s="238">
        <f>S227*VLOOKUP($AA227,'SKOR PPH'!$B$13:$D$21,3,FALSE)</f>
        <v>1.8452969752128738</v>
      </c>
      <c r="AN227" s="238">
        <f>T227*VLOOKUP($AA227,'SKOR PPH'!$B$13:$D$21,3,FALSE)</f>
        <v>3.8661586423994416</v>
      </c>
      <c r="AO227" s="238">
        <f>U227*VLOOKUP($AA227,'SKOR PPH'!$B$13:$D$21,3,FALSE)</f>
        <v>6.7312249986510082</v>
      </c>
      <c r="AP227" s="238">
        <f>$AE227*VLOOKUP($AA227,'SKOR PPH'!$B$13:$D$21,3,FALSE)</f>
        <v>2.9883351825309696</v>
      </c>
      <c r="AQ227" s="238">
        <f>W227*VLOOKUP($AA227,'SKOR PPH'!$B$13:$D$21,3,FALSE)</f>
        <v>71.912232530253704</v>
      </c>
      <c r="AR227" s="238">
        <f>X227*VLOOKUP($AA227,'SKOR PPH'!$B$13:$D$21,3,FALSE)</f>
        <v>1.9626874513781953</v>
      </c>
      <c r="AS227" s="238">
        <f>Y227*VLOOKUP($AA227,'SKOR PPH'!$B$13:$D$21,3,FALSE)</f>
        <v>4.1121083242437892</v>
      </c>
      <c r="AT227" s="238">
        <f>Z227*VLOOKUP($AA227,'SKOR PPH'!$B$13:$D$21,3,FALSE)</f>
        <v>7.1594388408573026</v>
      </c>
      <c r="AU227" s="238">
        <f>$AF227*VLOOKUP($AA227,'SKOR PPH'!$B$13:$D$21,3,FALSE)</f>
        <v>3.1784412168067937</v>
      </c>
    </row>
    <row r="228" spans="2:47" ht="15" customHeight="1" x14ac:dyDescent="0.2">
      <c r="B228" s="199" t="s">
        <v>272</v>
      </c>
      <c r="C228" s="212">
        <v>200</v>
      </c>
      <c r="D228" s="149">
        <v>109</v>
      </c>
      <c r="E228" s="243">
        <v>8.6999999999999993</v>
      </c>
      <c r="F228" s="149">
        <v>0.5</v>
      </c>
      <c r="G228" s="261">
        <v>18.3</v>
      </c>
      <c r="H228" s="208" t="s">
        <v>127</v>
      </c>
      <c r="I228" s="311">
        <v>0</v>
      </c>
      <c r="J228" s="311">
        <v>0</v>
      </c>
      <c r="K228" s="311">
        <v>0</v>
      </c>
      <c r="L228" s="144">
        <f t="shared" si="314"/>
        <v>0</v>
      </c>
      <c r="M228" s="144">
        <f t="shared" si="315"/>
        <v>0</v>
      </c>
      <c r="N228" s="144">
        <f t="shared" si="316"/>
        <v>0</v>
      </c>
      <c r="O228" s="144">
        <f t="shared" si="317"/>
        <v>0</v>
      </c>
      <c r="P228" s="144">
        <f t="shared" si="318"/>
        <v>0</v>
      </c>
      <c r="Q228" s="144">
        <f t="shared" si="319"/>
        <v>0</v>
      </c>
      <c r="R228" s="144">
        <f t="shared" si="320"/>
        <v>0</v>
      </c>
      <c r="S228" s="144">
        <f t="shared" si="321"/>
        <v>0</v>
      </c>
      <c r="T228" s="144">
        <f t="shared" si="322"/>
        <v>0</v>
      </c>
      <c r="U228" s="144">
        <f t="shared" si="323"/>
        <v>0</v>
      </c>
      <c r="V228" s="338">
        <f t="shared" si="324"/>
        <v>0</v>
      </c>
      <c r="W228" s="338">
        <f t="shared" si="325"/>
        <v>0</v>
      </c>
      <c r="X228" s="338">
        <f t="shared" si="326"/>
        <v>0</v>
      </c>
      <c r="Y228" s="338">
        <f t="shared" si="327"/>
        <v>0</v>
      </c>
      <c r="Z228" s="338">
        <f t="shared" si="328"/>
        <v>0</v>
      </c>
      <c r="AA228" s="199">
        <v>6</v>
      </c>
      <c r="AB228" s="176">
        <v>21</v>
      </c>
      <c r="AC228" s="177">
        <v>0.2</v>
      </c>
      <c r="AD228" s="238">
        <f t="shared" si="329"/>
        <v>0</v>
      </c>
      <c r="AE228" s="238">
        <f t="shared" si="330"/>
        <v>0</v>
      </c>
      <c r="AF228" s="238">
        <f t="shared" si="331"/>
        <v>0</v>
      </c>
      <c r="AG228" s="238">
        <f>M228*VLOOKUP($AA228,'SKOR PPH'!$B$13:$D$21,3,FALSE)</f>
        <v>0</v>
      </c>
      <c r="AH228" s="238">
        <f>N228*VLOOKUP($AA228,'SKOR PPH'!$B$13:$D$21,3,FALSE)</f>
        <v>0</v>
      </c>
      <c r="AI228" s="238">
        <f>O228*VLOOKUP($AA228,'SKOR PPH'!$B$13:$D$21,3,FALSE)</f>
        <v>0</v>
      </c>
      <c r="AJ228" s="238">
        <f>P228*VLOOKUP($AA228,'SKOR PPH'!$B$13:$D$21,3,FALSE)</f>
        <v>0</v>
      </c>
      <c r="AK228" s="238">
        <f>$AD228*VLOOKUP($AA228,'SKOR PPH'!$B$13:$D$21,3,FALSE)</f>
        <v>0</v>
      </c>
      <c r="AL228" s="238">
        <f>R228*VLOOKUP($AA228,'SKOR PPH'!$B$13:$D$21,3,FALSE)</f>
        <v>0</v>
      </c>
      <c r="AM228" s="238">
        <f>S228*VLOOKUP($AA228,'SKOR PPH'!$B$13:$D$21,3,FALSE)</f>
        <v>0</v>
      </c>
      <c r="AN228" s="238">
        <f>T228*VLOOKUP($AA228,'SKOR PPH'!$B$13:$D$21,3,FALSE)</f>
        <v>0</v>
      </c>
      <c r="AO228" s="238">
        <f>U228*VLOOKUP($AA228,'SKOR PPH'!$B$13:$D$21,3,FALSE)</f>
        <v>0</v>
      </c>
      <c r="AP228" s="238">
        <f>$AE228*VLOOKUP($AA228,'SKOR PPH'!$B$13:$D$21,3,FALSE)</f>
        <v>0</v>
      </c>
      <c r="AQ228" s="238">
        <f>W228*VLOOKUP($AA228,'SKOR PPH'!$B$13:$D$21,3,FALSE)</f>
        <v>0</v>
      </c>
      <c r="AR228" s="238">
        <f>X228*VLOOKUP($AA228,'SKOR PPH'!$B$13:$D$21,3,FALSE)</f>
        <v>0</v>
      </c>
      <c r="AS228" s="238">
        <f>Y228*VLOOKUP($AA228,'SKOR PPH'!$B$13:$D$21,3,FALSE)</f>
        <v>0</v>
      </c>
      <c r="AT228" s="238">
        <f>Z228*VLOOKUP($AA228,'SKOR PPH'!$B$13:$D$21,3,FALSE)</f>
        <v>0</v>
      </c>
      <c r="AU228" s="238">
        <f>$AF228*VLOOKUP($AA228,'SKOR PPH'!$B$13:$D$21,3,FALSE)</f>
        <v>0</v>
      </c>
    </row>
    <row r="229" spans="2:47" ht="15" customHeight="1" x14ac:dyDescent="0.2">
      <c r="B229" s="199" t="s">
        <v>273</v>
      </c>
      <c r="C229" s="212">
        <v>250</v>
      </c>
      <c r="D229" s="149">
        <v>290</v>
      </c>
      <c r="E229" s="243">
        <v>14</v>
      </c>
      <c r="F229" s="149">
        <v>10.9</v>
      </c>
      <c r="G229" s="261">
        <v>34</v>
      </c>
      <c r="H229" s="208" t="s">
        <v>127</v>
      </c>
      <c r="I229" s="311">
        <v>0.13934700863513014</v>
      </c>
      <c r="J229" s="311">
        <v>0.46557933666560464</v>
      </c>
      <c r="K229" s="311">
        <v>0.6049263453007343</v>
      </c>
      <c r="L229" s="144">
        <f t="shared" si="314"/>
        <v>4.9766788798260757</v>
      </c>
      <c r="M229" s="144">
        <f t="shared" si="315"/>
        <v>5.7729475005982485</v>
      </c>
      <c r="N229" s="144">
        <f t="shared" si="316"/>
        <v>0.27869401727026027</v>
      </c>
      <c r="O229" s="144">
        <f t="shared" si="317"/>
        <v>0.21698319916041695</v>
      </c>
      <c r="P229" s="144">
        <f t="shared" si="318"/>
        <v>0.67682832765634637</v>
      </c>
      <c r="Q229" s="144">
        <f t="shared" si="319"/>
        <v>16.627833452343022</v>
      </c>
      <c r="R229" s="144">
        <f t="shared" si="320"/>
        <v>19.288286804717906</v>
      </c>
      <c r="S229" s="144">
        <f t="shared" si="321"/>
        <v>0.93115867333120927</v>
      </c>
      <c r="T229" s="144">
        <f t="shared" si="322"/>
        <v>0.72497353852215585</v>
      </c>
      <c r="U229" s="144">
        <f t="shared" si="323"/>
        <v>2.2613853495186511</v>
      </c>
      <c r="V229" s="338">
        <f t="shared" si="324"/>
        <v>21.604512332169083</v>
      </c>
      <c r="W229" s="338">
        <f t="shared" si="325"/>
        <v>25.061234305316134</v>
      </c>
      <c r="X229" s="338">
        <f t="shared" si="326"/>
        <v>1.2098526906014686</v>
      </c>
      <c r="Y229" s="338">
        <f t="shared" si="327"/>
        <v>0.94195673768257204</v>
      </c>
      <c r="Z229" s="338">
        <f t="shared" si="328"/>
        <v>2.9382136771749954</v>
      </c>
      <c r="AA229" s="199">
        <v>8</v>
      </c>
      <c r="AB229" s="176">
        <v>25</v>
      </c>
      <c r="AC229" s="177">
        <v>1</v>
      </c>
      <c r="AD229" s="238">
        <f t="shared" si="329"/>
        <v>4.9766788798260757</v>
      </c>
      <c r="AE229" s="238">
        <f t="shared" si="330"/>
        <v>16.627833452343022</v>
      </c>
      <c r="AF229" s="238">
        <f t="shared" si="331"/>
        <v>21.604512332169083</v>
      </c>
      <c r="AG229" s="238">
        <f>M229*VLOOKUP($AA229,'SKOR PPH'!$B$13:$D$21,3,FALSE)</f>
        <v>8.1098366488404192</v>
      </c>
      <c r="AH229" s="238">
        <f>N229*VLOOKUP($AA229,'SKOR PPH'!$B$13:$D$21,3,FALSE)</f>
        <v>0.39150935546126164</v>
      </c>
      <c r="AI229" s="238">
        <f>O229*VLOOKUP($AA229,'SKOR PPH'!$B$13:$D$21,3,FALSE)</f>
        <v>0.30481799818055372</v>
      </c>
      <c r="AJ229" s="238">
        <f>P229*VLOOKUP($AA229,'SKOR PPH'!$B$13:$D$21,3,FALSE)</f>
        <v>0.95080843469163545</v>
      </c>
      <c r="AK229" s="238">
        <f>$AD229*VLOOKUP($AA229,'SKOR PPH'!$B$13:$D$21,3,FALSE)</f>
        <v>6.9912384903796712</v>
      </c>
      <c r="AL229" s="238">
        <f>R229*VLOOKUP($AA229,'SKOR PPH'!$B$13:$D$21,3,FALSE)</f>
        <v>27.096185303267717</v>
      </c>
      <c r="AM229" s="238">
        <f>S229*VLOOKUP($AA229,'SKOR PPH'!$B$13:$D$21,3,FALSE)</f>
        <v>1.3080917042956828</v>
      </c>
      <c r="AN229" s="238">
        <f>T229*VLOOKUP($AA229,'SKOR PPH'!$B$13:$D$21,3,FALSE)</f>
        <v>1.0184428269159245</v>
      </c>
      <c r="AO229" s="238">
        <f>U229*VLOOKUP($AA229,'SKOR PPH'!$B$13:$D$21,3,FALSE)</f>
        <v>3.176794139003801</v>
      </c>
      <c r="AP229" s="238">
        <f>$AE229*VLOOKUP($AA229,'SKOR PPH'!$B$13:$D$21,3,FALSE)</f>
        <v>23.358780433851479</v>
      </c>
      <c r="AQ229" s="238">
        <f>W229*VLOOKUP($AA229,'SKOR PPH'!$B$13:$D$21,3,FALSE)</f>
        <v>35.206021952108109</v>
      </c>
      <c r="AR229" s="238">
        <f>X229*VLOOKUP($AA229,'SKOR PPH'!$B$13:$D$21,3,FALSE)</f>
        <v>1.6996010597569431</v>
      </c>
      <c r="AS229" s="238">
        <f>Y229*VLOOKUP($AA229,'SKOR PPH'!$B$13:$D$21,3,FALSE)</f>
        <v>1.3232608250964772</v>
      </c>
      <c r="AT229" s="238">
        <f>Z229*VLOOKUP($AA229,'SKOR PPH'!$B$13:$D$21,3,FALSE)</f>
        <v>4.1276025736954338</v>
      </c>
      <c r="AU229" s="238">
        <f>$AF229*VLOOKUP($AA229,'SKOR PPH'!$B$13:$D$21,3,FALSE)</f>
        <v>30.350018924231129</v>
      </c>
    </row>
    <row r="230" spans="2:47" ht="15" customHeight="1" x14ac:dyDescent="0.2">
      <c r="B230" s="199" t="s">
        <v>274</v>
      </c>
      <c r="C230" s="212">
        <v>500</v>
      </c>
      <c r="D230" s="149">
        <v>583.6</v>
      </c>
      <c r="E230" s="243">
        <v>19.420000000000002</v>
      </c>
      <c r="F230" s="149">
        <v>9.07</v>
      </c>
      <c r="G230" s="261">
        <v>103.62</v>
      </c>
      <c r="H230" s="208" t="s">
        <v>127</v>
      </c>
      <c r="I230" s="311">
        <v>2.0874849508414811E-2</v>
      </c>
      <c r="J230" s="311">
        <v>0.10258335819512202</v>
      </c>
      <c r="K230" s="311">
        <v>0.12345820770353683</v>
      </c>
      <c r="L230" s="144">
        <f t="shared" si="314"/>
        <v>1.4910606791724865</v>
      </c>
      <c r="M230" s="144">
        <f t="shared" si="315"/>
        <v>1.7403660247301265</v>
      </c>
      <c r="N230" s="144">
        <f t="shared" si="316"/>
        <v>5.7912796779059382E-2</v>
      </c>
      <c r="O230" s="144">
        <f t="shared" si="317"/>
        <v>2.7047840720188905E-2</v>
      </c>
      <c r="P230" s="144">
        <f t="shared" si="318"/>
        <v>0.3090074151517061</v>
      </c>
      <c r="Q230" s="144">
        <f t="shared" si="319"/>
        <v>7.3273827282230011</v>
      </c>
      <c r="R230" s="144">
        <f t="shared" si="320"/>
        <v>8.5525211203818863</v>
      </c>
      <c r="S230" s="144">
        <f t="shared" si="321"/>
        <v>0.2845955451641814</v>
      </c>
      <c r="T230" s="144">
        <f t="shared" si="322"/>
        <v>0.13291872268996524</v>
      </c>
      <c r="U230" s="144">
        <f t="shared" si="323"/>
        <v>1.5185267965969349</v>
      </c>
      <c r="V230" s="338">
        <f t="shared" si="324"/>
        <v>8.8184434073954883</v>
      </c>
      <c r="W230" s="338">
        <f t="shared" si="325"/>
        <v>10.292887145112013</v>
      </c>
      <c r="X230" s="338">
        <f t="shared" si="326"/>
        <v>0.34250834194324076</v>
      </c>
      <c r="Y230" s="338">
        <f t="shared" si="327"/>
        <v>0.15996656341015414</v>
      </c>
      <c r="Z230" s="338">
        <f t="shared" si="328"/>
        <v>1.8275342117486411</v>
      </c>
      <c r="AA230" s="199">
        <v>1</v>
      </c>
      <c r="AB230" s="176">
        <v>1</v>
      </c>
      <c r="AC230" s="240">
        <v>0.5</v>
      </c>
      <c r="AD230" s="238">
        <f t="shared" si="329"/>
        <v>0.74553033958624326</v>
      </c>
      <c r="AE230" s="238">
        <f t="shared" si="330"/>
        <v>3.6636913641115005</v>
      </c>
      <c r="AF230" s="238">
        <f t="shared" si="331"/>
        <v>4.4092217036977441</v>
      </c>
      <c r="AG230" s="255">
        <f>M230*VLOOKUP($AA230,'SKOR PPH'!$B$13:$D$21,3,FALSE)</f>
        <v>1.8070220434772903</v>
      </c>
      <c r="AH230" s="238">
        <f>N230*VLOOKUP($AA230,'SKOR PPH'!$B$13:$D$21,3,FALSE)</f>
        <v>6.0130856895697353E-2</v>
      </c>
      <c r="AI230" s="238">
        <f>O230*VLOOKUP($AA230,'SKOR PPH'!$B$13:$D$21,3,FALSE)</f>
        <v>2.8083773019772142E-2</v>
      </c>
      <c r="AJ230" s="238">
        <f>P230*VLOOKUP($AA230,'SKOR PPH'!$B$13:$D$21,3,FALSE)</f>
        <v>0.32084239915201646</v>
      </c>
      <c r="AK230" s="238">
        <f>$AD230*VLOOKUP($AA230,'SKOR PPH'!$B$13:$D$21,3,FALSE)</f>
        <v>0.77408415159239641</v>
      </c>
      <c r="AL230" s="255">
        <f>R230*VLOOKUP($AA230,'SKOR PPH'!$B$13:$D$21,3,FALSE)</f>
        <v>8.8800826792925118</v>
      </c>
      <c r="AM230" s="238">
        <f>S230*VLOOKUP($AA230,'SKOR PPH'!$B$13:$D$21,3,FALSE)</f>
        <v>0.29549555454396953</v>
      </c>
      <c r="AN230" s="238">
        <f>T230*VLOOKUP($AA230,'SKOR PPH'!$B$13:$D$21,3,FALSE)</f>
        <v>0.1380095097689909</v>
      </c>
      <c r="AO230" s="238">
        <f>U230*VLOOKUP($AA230,'SKOR PPH'!$B$13:$D$21,3,FALSE)</f>
        <v>1.5766863729065974</v>
      </c>
      <c r="AP230" s="238">
        <f>$AE230*VLOOKUP($AA230,'SKOR PPH'!$B$13:$D$21,3,FALSE)</f>
        <v>3.804010743356971</v>
      </c>
      <c r="AQ230" s="255">
        <f>W230*VLOOKUP($AA230,'SKOR PPH'!$B$13:$D$21,3,FALSE)</f>
        <v>10.687104722769803</v>
      </c>
      <c r="AR230" s="238">
        <f>X230*VLOOKUP($AA230,'SKOR PPH'!$B$13:$D$21,3,FALSE)</f>
        <v>0.35562641143966689</v>
      </c>
      <c r="AS230" s="238">
        <f>Y230*VLOOKUP($AA230,'SKOR PPH'!$B$13:$D$21,3,FALSE)</f>
        <v>0.16609328278876304</v>
      </c>
      <c r="AT230" s="238">
        <f>Z230*VLOOKUP($AA230,'SKOR PPH'!$B$13:$D$21,3,FALSE)</f>
        <v>1.897528772058614</v>
      </c>
      <c r="AU230" s="238">
        <f>$AF230*VLOOKUP($AA230,'SKOR PPH'!$B$13:$D$21,3,FALSE)</f>
        <v>4.5780948949493681</v>
      </c>
    </row>
    <row r="231" spans="2:47" ht="15" customHeight="1" x14ac:dyDescent="0.2">
      <c r="B231" s="199" t="s">
        <v>275</v>
      </c>
      <c r="C231" s="212">
        <v>250</v>
      </c>
      <c r="D231" s="149">
        <v>552</v>
      </c>
      <c r="E231" s="243">
        <v>6.4</v>
      </c>
      <c r="F231" s="149">
        <v>6.4</v>
      </c>
      <c r="G231" s="261">
        <v>60.4</v>
      </c>
      <c r="H231" s="208" t="s">
        <v>127</v>
      </c>
      <c r="I231" s="311">
        <v>1.5425053842871898E-2</v>
      </c>
      <c r="J231" s="311">
        <v>0.19510500276462106</v>
      </c>
      <c r="K231" s="311">
        <v>0.21053005660749313</v>
      </c>
      <c r="L231" s="144">
        <f t="shared" si="314"/>
        <v>0.55089478010256776</v>
      </c>
      <c r="M231" s="144">
        <f t="shared" si="315"/>
        <v>1.2163756744664698</v>
      </c>
      <c r="N231" s="144">
        <f t="shared" si="316"/>
        <v>1.4102906370625737E-2</v>
      </c>
      <c r="O231" s="144">
        <f t="shared" si="317"/>
        <v>1.4102906370625737E-2</v>
      </c>
      <c r="P231" s="144">
        <f t="shared" si="318"/>
        <v>0.13309617887278039</v>
      </c>
      <c r="Q231" s="144">
        <f t="shared" si="319"/>
        <v>6.9680358130221807</v>
      </c>
      <c r="R231" s="144">
        <f t="shared" si="320"/>
        <v>15.385423075152975</v>
      </c>
      <c r="S231" s="144">
        <f t="shared" si="321"/>
        <v>0.17838171681336784</v>
      </c>
      <c r="T231" s="144">
        <f t="shared" si="322"/>
        <v>0.17838171681336784</v>
      </c>
      <c r="U231" s="144">
        <f t="shared" si="323"/>
        <v>1.6834774524261589</v>
      </c>
      <c r="V231" s="338">
        <f t="shared" si="324"/>
        <v>7.5189305931247548</v>
      </c>
      <c r="W231" s="338">
        <f t="shared" si="325"/>
        <v>16.601798749619459</v>
      </c>
      <c r="X231" s="338">
        <f t="shared" si="326"/>
        <v>0.19248462318399376</v>
      </c>
      <c r="Y231" s="338">
        <f t="shared" si="327"/>
        <v>0.19248462318399376</v>
      </c>
      <c r="Z231" s="338">
        <f t="shared" si="328"/>
        <v>1.8165736312989407</v>
      </c>
      <c r="AA231" s="199">
        <v>1</v>
      </c>
      <c r="AB231" s="176">
        <v>1</v>
      </c>
      <c r="AC231" s="177">
        <v>0.5</v>
      </c>
      <c r="AD231" s="238">
        <f t="shared" si="329"/>
        <v>0.27544739005128388</v>
      </c>
      <c r="AE231" s="238">
        <f t="shared" si="330"/>
        <v>3.4840179065110903</v>
      </c>
      <c r="AF231" s="238">
        <f t="shared" si="331"/>
        <v>3.7594652965623774</v>
      </c>
      <c r="AG231" s="255">
        <f>M231*VLOOKUP($AA231,'SKOR PPH'!$B$13:$D$21,3,FALSE)</f>
        <v>1.2629628627985356</v>
      </c>
      <c r="AH231" s="238">
        <f>N231*VLOOKUP($AA231,'SKOR PPH'!$B$13:$D$21,3,FALSE)</f>
        <v>1.4643047684620703E-2</v>
      </c>
      <c r="AI231" s="238">
        <f>O231*VLOOKUP($AA231,'SKOR PPH'!$B$13:$D$21,3,FALSE)</f>
        <v>1.4643047684620703E-2</v>
      </c>
      <c r="AJ231" s="238">
        <f>P231*VLOOKUP($AA231,'SKOR PPH'!$B$13:$D$21,3,FALSE)</f>
        <v>0.13819376252360788</v>
      </c>
      <c r="AK231" s="238">
        <f>$AD231*VLOOKUP($AA231,'SKOR PPH'!$B$13:$D$21,3,FALSE)</f>
        <v>0.28599702509024805</v>
      </c>
      <c r="AL231" s="255">
        <f>R231*VLOOKUP($AA231,'SKOR PPH'!$B$13:$D$21,3,FALSE)</f>
        <v>15.974684778931334</v>
      </c>
      <c r="AM231" s="238">
        <f>S231*VLOOKUP($AA231,'SKOR PPH'!$B$13:$D$21,3,FALSE)</f>
        <v>0.18521373656731982</v>
      </c>
      <c r="AN231" s="238">
        <f>T231*VLOOKUP($AA231,'SKOR PPH'!$B$13:$D$21,3,FALSE)</f>
        <v>0.18521373656731982</v>
      </c>
      <c r="AO231" s="238">
        <f>U231*VLOOKUP($AA231,'SKOR PPH'!$B$13:$D$21,3,FALSE)</f>
        <v>1.7479546388540808</v>
      </c>
      <c r="AP231" s="238">
        <f>$AE231*VLOOKUP($AA231,'SKOR PPH'!$B$13:$D$21,3,FALSE)</f>
        <v>3.6174557923304649</v>
      </c>
      <c r="AQ231" s="255">
        <f>W231*VLOOKUP($AA231,'SKOR PPH'!$B$13:$D$21,3,FALSE)</f>
        <v>17.237647641729883</v>
      </c>
      <c r="AR231" s="238">
        <f>X231*VLOOKUP($AA231,'SKOR PPH'!$B$13:$D$21,3,FALSE)</f>
        <v>0.19985678425194073</v>
      </c>
      <c r="AS231" s="238">
        <f>Y231*VLOOKUP($AA231,'SKOR PPH'!$B$13:$D$21,3,FALSE)</f>
        <v>0.19985678425194073</v>
      </c>
      <c r="AT231" s="238">
        <f>Z231*VLOOKUP($AA231,'SKOR PPH'!$B$13:$D$21,3,FALSE)</f>
        <v>1.8861484013776901</v>
      </c>
      <c r="AU231" s="238">
        <f>$AF231*VLOOKUP($AA231,'SKOR PPH'!$B$13:$D$21,3,FALSE)</f>
        <v>3.9034528174207166</v>
      </c>
    </row>
    <row r="232" spans="2:47" ht="15" customHeight="1" x14ac:dyDescent="0.2">
      <c r="B232" s="199" t="s">
        <v>276</v>
      </c>
      <c r="C232" s="212">
        <v>200</v>
      </c>
      <c r="D232" s="149">
        <v>391.6</v>
      </c>
      <c r="E232" s="243">
        <v>4.62</v>
      </c>
      <c r="F232" s="149">
        <v>0.22</v>
      </c>
      <c r="G232" s="261">
        <v>89.32</v>
      </c>
      <c r="H232" s="208" t="s">
        <v>127</v>
      </c>
      <c r="I232" s="311">
        <v>1.1433720555974951E-4</v>
      </c>
      <c r="J232" s="311">
        <v>2.9110598165863488E-2</v>
      </c>
      <c r="K232" s="311">
        <v>2.9224935371423236E-2</v>
      </c>
      <c r="L232" s="144">
        <f t="shared" si="314"/>
        <v>3.2667773017071291E-3</v>
      </c>
      <c r="M232" s="144">
        <f t="shared" si="315"/>
        <v>6.3963499567425584E-3</v>
      </c>
      <c r="N232" s="144">
        <f t="shared" si="316"/>
        <v>7.5462555669434677E-5</v>
      </c>
      <c r="O232" s="144">
        <f t="shared" si="317"/>
        <v>3.5934550318778412E-6</v>
      </c>
      <c r="P232" s="144">
        <f t="shared" si="318"/>
        <v>1.4589427429424035E-3</v>
      </c>
      <c r="Q232" s="144">
        <f t="shared" si="319"/>
        <v>0.83173137616752812</v>
      </c>
      <c r="R232" s="144">
        <f t="shared" si="320"/>
        <v>1.6285300345360203</v>
      </c>
      <c r="S232" s="144">
        <f t="shared" si="321"/>
        <v>1.92129947894699E-2</v>
      </c>
      <c r="T232" s="144">
        <f t="shared" si="322"/>
        <v>9.1490451378428098E-4</v>
      </c>
      <c r="U232" s="144">
        <f t="shared" si="323"/>
        <v>0.3714512325964181</v>
      </c>
      <c r="V232" s="338">
        <f t="shared" si="324"/>
        <v>0.83499815346923534</v>
      </c>
      <c r="W232" s="338">
        <f t="shared" si="325"/>
        <v>1.6349263844927628</v>
      </c>
      <c r="X232" s="338">
        <f t="shared" si="326"/>
        <v>1.9288457345139336E-2</v>
      </c>
      <c r="Y232" s="338">
        <f t="shared" si="327"/>
        <v>9.1849796881615891E-4</v>
      </c>
      <c r="Z232" s="338">
        <f t="shared" si="328"/>
        <v>0.37291017533936044</v>
      </c>
      <c r="AA232" s="199">
        <v>1</v>
      </c>
      <c r="AB232" s="176">
        <v>1</v>
      </c>
      <c r="AC232" s="177">
        <v>0.5</v>
      </c>
      <c r="AD232" s="238">
        <f t="shared" si="329"/>
        <v>1.6333886508535646E-3</v>
      </c>
      <c r="AE232" s="238">
        <f t="shared" si="330"/>
        <v>0.41586568808376406</v>
      </c>
      <c r="AF232" s="238">
        <f t="shared" si="331"/>
        <v>0.41749907673461767</v>
      </c>
      <c r="AG232" s="255">
        <f>M232*VLOOKUP($AA232,'SKOR PPH'!$B$13:$D$21,3,FALSE)</f>
        <v>6.6413301600857988E-3</v>
      </c>
      <c r="AH232" s="238">
        <f>N232*VLOOKUP($AA232,'SKOR PPH'!$B$13:$D$21,3,FALSE)</f>
        <v>7.8352771551574025E-5</v>
      </c>
      <c r="AI232" s="238">
        <f>O232*VLOOKUP($AA232,'SKOR PPH'!$B$13:$D$21,3,FALSE)</f>
        <v>3.7310843595987624E-6</v>
      </c>
      <c r="AJ232" s="238">
        <f>P232*VLOOKUP($AA232,'SKOR PPH'!$B$13:$D$21,3,FALSE)</f>
        <v>1.5148202499970975E-3</v>
      </c>
      <c r="AK232" s="238">
        <f>$AD232*VLOOKUP($AA232,'SKOR PPH'!$B$13:$D$21,3,FALSE)</f>
        <v>1.695947436181256E-3</v>
      </c>
      <c r="AL232" s="255">
        <f>R232*VLOOKUP($AA232,'SKOR PPH'!$B$13:$D$21,3,FALSE)</f>
        <v>1.69090273485875</v>
      </c>
      <c r="AM232" s="238">
        <f>S232*VLOOKUP($AA232,'SKOR PPH'!$B$13:$D$21,3,FALSE)</f>
        <v>1.9948852489906597E-2</v>
      </c>
      <c r="AN232" s="238">
        <f>T232*VLOOKUP($AA232,'SKOR PPH'!$B$13:$D$21,3,FALSE)</f>
        <v>9.4994535666221896E-4</v>
      </c>
      <c r="AO232" s="238">
        <f>U232*VLOOKUP($AA232,'SKOR PPH'!$B$13:$D$21,3,FALSE)</f>
        <v>0.38567781480486091</v>
      </c>
      <c r="AP232" s="238">
        <f>$AE232*VLOOKUP($AA232,'SKOR PPH'!$B$13:$D$21,3,FALSE)</f>
        <v>0.43179334393737223</v>
      </c>
      <c r="AQ232" s="255">
        <f>W232*VLOOKUP($AA232,'SKOR PPH'!$B$13:$D$21,3,FALSE)</f>
        <v>1.6975440650188356</v>
      </c>
      <c r="AR232" s="238">
        <f>X232*VLOOKUP($AA232,'SKOR PPH'!$B$13:$D$21,3,FALSE)</f>
        <v>2.0027205261458174E-2</v>
      </c>
      <c r="AS232" s="238">
        <f>Y232*VLOOKUP($AA232,'SKOR PPH'!$B$13:$D$21,3,FALSE)</f>
        <v>9.5367644102181779E-4</v>
      </c>
      <c r="AT232" s="238">
        <f>Z232*VLOOKUP($AA232,'SKOR PPH'!$B$13:$D$21,3,FALSE)</f>
        <v>0.38719263505485796</v>
      </c>
      <c r="AU232" s="238">
        <f>$AF232*VLOOKUP($AA232,'SKOR PPH'!$B$13:$D$21,3,FALSE)</f>
        <v>0.43348929137355352</v>
      </c>
    </row>
    <row r="233" spans="2:47" ht="15" customHeight="1" x14ac:dyDescent="0.2">
      <c r="B233" s="199" t="s">
        <v>277</v>
      </c>
      <c r="C233" s="212">
        <v>350</v>
      </c>
      <c r="D233" s="149">
        <v>263.8</v>
      </c>
      <c r="E233" s="243">
        <v>5.93</v>
      </c>
      <c r="F233" s="149">
        <v>5.2</v>
      </c>
      <c r="G233" s="261">
        <v>47</v>
      </c>
      <c r="H233" s="208" t="s">
        <v>127</v>
      </c>
      <c r="I233" s="311">
        <v>0.1302227224703302</v>
      </c>
      <c r="J233" s="311">
        <v>1.828569956889069</v>
      </c>
      <c r="K233" s="311">
        <v>1.9587926793594006</v>
      </c>
      <c r="L233" s="144">
        <f t="shared" si="314"/>
        <v>6.5111361235165095</v>
      </c>
      <c r="M233" s="144">
        <f t="shared" si="315"/>
        <v>4.9075363125247291</v>
      </c>
      <c r="N233" s="144">
        <f t="shared" si="316"/>
        <v>0.11031724917843687</v>
      </c>
      <c r="O233" s="144">
        <f t="shared" si="317"/>
        <v>9.6736879549388158E-2</v>
      </c>
      <c r="P233" s="144">
        <f t="shared" si="318"/>
        <v>0.87435256515793136</v>
      </c>
      <c r="Q233" s="144">
        <f t="shared" si="319"/>
        <v>91.428497844453446</v>
      </c>
      <c r="R233" s="144">
        <f t="shared" si="320"/>
        <v>68.910964946762348</v>
      </c>
      <c r="S233" s="144">
        <f t="shared" si="321"/>
        <v>1.5490599777645968</v>
      </c>
      <c r="T233" s="144">
        <f t="shared" si="322"/>
        <v>1.3583662536890226</v>
      </c>
      <c r="U233" s="144">
        <f t="shared" si="323"/>
        <v>12.277541139112319</v>
      </c>
      <c r="V233" s="338">
        <f t="shared" si="324"/>
        <v>97.939633967970039</v>
      </c>
      <c r="W233" s="338">
        <f t="shared" si="325"/>
        <v>73.818501259287132</v>
      </c>
      <c r="X233" s="338">
        <f t="shared" si="326"/>
        <v>1.6593772269430349</v>
      </c>
      <c r="Y233" s="338">
        <f t="shared" si="327"/>
        <v>1.4551031332384119</v>
      </c>
      <c r="Z233" s="338">
        <f t="shared" si="328"/>
        <v>13.151893704270261</v>
      </c>
      <c r="AA233" s="199">
        <v>1</v>
      </c>
      <c r="AB233" s="176">
        <v>1</v>
      </c>
      <c r="AC233" s="177">
        <v>0.25</v>
      </c>
      <c r="AD233" s="238">
        <f t="shared" si="329"/>
        <v>1.6277840308791274</v>
      </c>
      <c r="AE233" s="238">
        <f t="shared" si="330"/>
        <v>22.857124461113361</v>
      </c>
      <c r="AF233" s="238">
        <f t="shared" si="331"/>
        <v>24.48490849199251</v>
      </c>
      <c r="AG233" s="255">
        <f>M233*VLOOKUP($AA233,'SKOR PPH'!$B$13:$D$21,3,FALSE)</f>
        <v>5.095494953294426</v>
      </c>
      <c r="AH233" s="238">
        <f>N233*VLOOKUP($AA233,'SKOR PPH'!$B$13:$D$21,3,FALSE)</f>
        <v>0.11454239982197099</v>
      </c>
      <c r="AI233" s="238">
        <f>O233*VLOOKUP($AA233,'SKOR PPH'!$B$13:$D$21,3,FALSE)</f>
        <v>0.10044190203612972</v>
      </c>
      <c r="AJ233" s="238">
        <f>P233*VLOOKUP($AA233,'SKOR PPH'!$B$13:$D$21,3,FALSE)</f>
        <v>0.90784026840348009</v>
      </c>
      <c r="AK233" s="238">
        <f>$AD233*VLOOKUP($AA233,'SKOR PPH'!$B$13:$D$21,3,FALSE)</f>
        <v>1.690128159261798</v>
      </c>
      <c r="AL233" s="255">
        <f>R233*VLOOKUP($AA233,'SKOR PPH'!$B$13:$D$21,3,FALSE)</f>
        <v>71.550254904223351</v>
      </c>
      <c r="AM233" s="238">
        <f>S233*VLOOKUP($AA233,'SKOR PPH'!$B$13:$D$21,3,FALSE)</f>
        <v>1.6083889749129809</v>
      </c>
      <c r="AN233" s="238">
        <f>T233*VLOOKUP($AA233,'SKOR PPH'!$B$13:$D$21,3,FALSE)</f>
        <v>1.4103916812053121</v>
      </c>
      <c r="AO233" s="238">
        <f>U233*VLOOKUP($AA233,'SKOR PPH'!$B$13:$D$21,3,FALSE)</f>
        <v>12.747770964740321</v>
      </c>
      <c r="AP233" s="238">
        <f>$AE233*VLOOKUP($AA233,'SKOR PPH'!$B$13:$D$21,3,FALSE)</f>
        <v>23.732552327974002</v>
      </c>
      <c r="AQ233" s="255">
        <f>W233*VLOOKUP($AA233,'SKOR PPH'!$B$13:$D$21,3,FALSE)</f>
        <v>76.645749857517828</v>
      </c>
      <c r="AR233" s="238">
        <f>X233*VLOOKUP($AA233,'SKOR PPH'!$B$13:$D$21,3,FALSE)</f>
        <v>1.7229313747349531</v>
      </c>
      <c r="AS233" s="238">
        <f>Y233*VLOOKUP($AA233,'SKOR PPH'!$B$13:$D$21,3,FALSE)</f>
        <v>1.510833583241443</v>
      </c>
      <c r="AT233" s="238">
        <f>Z233*VLOOKUP($AA233,'SKOR PPH'!$B$13:$D$21,3,FALSE)</f>
        <v>13.655611233143812</v>
      </c>
      <c r="AU233" s="238">
        <f>$AF233*VLOOKUP($AA233,'SKOR PPH'!$B$13:$D$21,3,FALSE)</f>
        <v>25.422680487235823</v>
      </c>
    </row>
    <row r="234" spans="2:47" ht="15" customHeight="1" x14ac:dyDescent="0.2">
      <c r="B234" s="199" t="s">
        <v>278</v>
      </c>
      <c r="C234" s="212">
        <v>250</v>
      </c>
      <c r="D234" s="149">
        <v>143.69999999999999</v>
      </c>
      <c r="E234" s="243">
        <v>8.92</v>
      </c>
      <c r="F234" s="149">
        <v>7.96</v>
      </c>
      <c r="G234" s="261">
        <v>9.11</v>
      </c>
      <c r="H234" s="208" t="s">
        <v>127</v>
      </c>
      <c r="I234" s="311">
        <v>3.6442802965693049E-3</v>
      </c>
      <c r="J234" s="311">
        <v>8.0456780129340599E-2</v>
      </c>
      <c r="K234" s="311">
        <v>8.4101060425909896E-2</v>
      </c>
      <c r="L234" s="144">
        <f t="shared" si="314"/>
        <v>0.13015286773461804</v>
      </c>
      <c r="M234" s="144">
        <f t="shared" si="315"/>
        <v>7.4811868373858434E-2</v>
      </c>
      <c r="N234" s="144">
        <f t="shared" si="316"/>
        <v>4.6438543207711711E-3</v>
      </c>
      <c r="O234" s="144">
        <f t="shared" si="317"/>
        <v>4.1440673086702382E-3</v>
      </c>
      <c r="P234" s="144">
        <f t="shared" si="318"/>
        <v>4.742770500249481E-3</v>
      </c>
      <c r="Q234" s="144">
        <f t="shared" si="319"/>
        <v>2.8734564331907357</v>
      </c>
      <c r="R234" s="144">
        <f t="shared" si="320"/>
        <v>1.6516627577980347</v>
      </c>
      <c r="S234" s="144">
        <f t="shared" si="321"/>
        <v>0.10252492553624545</v>
      </c>
      <c r="T234" s="144">
        <f t="shared" si="322"/>
        <v>9.1490852832793026E-2</v>
      </c>
      <c r="U234" s="144">
        <f t="shared" si="323"/>
        <v>0.1047087524254704</v>
      </c>
      <c r="V234" s="338">
        <f t="shared" si="324"/>
        <v>3.0036093009253535</v>
      </c>
      <c r="W234" s="338">
        <f t="shared" si="325"/>
        <v>1.7264746261718931</v>
      </c>
      <c r="X234" s="338">
        <f t="shared" si="326"/>
        <v>0.1071687798570166</v>
      </c>
      <c r="Y234" s="338">
        <f t="shared" si="327"/>
        <v>9.5634920141463256E-2</v>
      </c>
      <c r="Z234" s="338">
        <f t="shared" si="328"/>
        <v>0.10945152292571987</v>
      </c>
      <c r="AA234" s="199">
        <v>3</v>
      </c>
      <c r="AB234" s="176">
        <v>9</v>
      </c>
      <c r="AC234" s="177">
        <v>0.2</v>
      </c>
      <c r="AD234" s="238">
        <f t="shared" si="329"/>
        <v>2.6030573546923608E-2</v>
      </c>
      <c r="AE234" s="238">
        <f t="shared" si="330"/>
        <v>0.57469128663814717</v>
      </c>
      <c r="AF234" s="238">
        <f t="shared" si="331"/>
        <v>0.60072186018507079</v>
      </c>
      <c r="AG234" s="238">
        <f>M234*VLOOKUP($AA234,'SKOR PPH'!$B$13:$D$21,3,FALSE)</f>
        <v>8.1051178196238222E-2</v>
      </c>
      <c r="AH234" s="238">
        <f>N234*VLOOKUP($AA234,'SKOR PPH'!$B$13:$D$21,3,FALSE)</f>
        <v>5.0311517711234864E-3</v>
      </c>
      <c r="AI234" s="238">
        <f>O234*VLOOKUP($AA234,'SKOR PPH'!$B$13:$D$21,3,FALSE)</f>
        <v>4.489682522213336E-3</v>
      </c>
      <c r="AJ234" s="238">
        <f>P234*VLOOKUP($AA234,'SKOR PPH'!$B$13:$D$21,3,FALSE)</f>
        <v>5.138317559970287E-3</v>
      </c>
      <c r="AK234" s="238">
        <f>$AD234*VLOOKUP($AA234,'SKOR PPH'!$B$13:$D$21,3,FALSE)</f>
        <v>2.8201523380737035E-2</v>
      </c>
      <c r="AL234" s="238">
        <f>R234*VLOOKUP($AA234,'SKOR PPH'!$B$13:$D$21,3,FALSE)</f>
        <v>1.7894114317983907</v>
      </c>
      <c r="AM234" s="238">
        <f>S234*VLOOKUP($AA234,'SKOR PPH'!$B$13:$D$21,3,FALSE)</f>
        <v>0.11107550432596831</v>
      </c>
      <c r="AN234" s="238">
        <f>T234*VLOOKUP($AA234,'SKOR PPH'!$B$13:$D$21,3,FALSE)</f>
        <v>9.9121189959047951E-2</v>
      </c>
      <c r="AO234" s="238">
        <f>U234*VLOOKUP($AA234,'SKOR PPH'!$B$13:$D$21,3,FALSE)</f>
        <v>0.11344146237775463</v>
      </c>
      <c r="AP234" s="238">
        <f>$AE234*VLOOKUP($AA234,'SKOR PPH'!$B$13:$D$21,3,FALSE)</f>
        <v>0.62262053994376865</v>
      </c>
      <c r="AQ234" s="238">
        <f>W234*VLOOKUP($AA234,'SKOR PPH'!$B$13:$D$21,3,FALSE)</f>
        <v>1.8704626099946289</v>
      </c>
      <c r="AR234" s="238">
        <f>X234*VLOOKUP($AA234,'SKOR PPH'!$B$13:$D$21,3,FALSE)</f>
        <v>0.11610665609709178</v>
      </c>
      <c r="AS234" s="238">
        <f>Y234*VLOOKUP($AA234,'SKOR PPH'!$B$13:$D$21,3,FALSE)</f>
        <v>0.10361087248126129</v>
      </c>
      <c r="AT234" s="238">
        <f>Z234*VLOOKUP($AA234,'SKOR PPH'!$B$13:$D$21,3,FALSE)</f>
        <v>0.11857977993772489</v>
      </c>
      <c r="AU234" s="238">
        <f>$AF234*VLOOKUP($AA234,'SKOR PPH'!$B$13:$D$21,3,FALSE)</f>
        <v>0.65082206332450565</v>
      </c>
    </row>
    <row r="235" spans="2:47" ht="15" customHeight="1" x14ac:dyDescent="0.2">
      <c r="B235" s="199" t="s">
        <v>279</v>
      </c>
      <c r="C235" s="212">
        <v>25</v>
      </c>
      <c r="D235" s="149">
        <v>89.5</v>
      </c>
      <c r="E235" s="243">
        <v>11.25</v>
      </c>
      <c r="F235" s="149">
        <v>1.75</v>
      </c>
      <c r="G235" s="261">
        <v>6.65</v>
      </c>
      <c r="H235" s="208" t="s">
        <v>128</v>
      </c>
      <c r="I235" s="311">
        <v>0</v>
      </c>
      <c r="J235" s="311">
        <v>0</v>
      </c>
      <c r="K235" s="311">
        <v>0</v>
      </c>
      <c r="L235" s="144">
        <f t="shared" si="314"/>
        <v>0</v>
      </c>
      <c r="M235" s="144">
        <f t="shared" si="315"/>
        <v>0</v>
      </c>
      <c r="N235" s="144">
        <f t="shared" si="316"/>
        <v>0</v>
      </c>
      <c r="O235" s="144">
        <f t="shared" si="317"/>
        <v>0</v>
      </c>
      <c r="P235" s="144">
        <f t="shared" si="318"/>
        <v>0</v>
      </c>
      <c r="Q235" s="144">
        <f t="shared" si="319"/>
        <v>0</v>
      </c>
      <c r="R235" s="144">
        <f t="shared" si="320"/>
        <v>0</v>
      </c>
      <c r="S235" s="144">
        <f t="shared" si="321"/>
        <v>0</v>
      </c>
      <c r="T235" s="144">
        <f t="shared" si="322"/>
        <v>0</v>
      </c>
      <c r="U235" s="144">
        <f t="shared" si="323"/>
        <v>0</v>
      </c>
      <c r="V235" s="338">
        <f t="shared" si="324"/>
        <v>0</v>
      </c>
      <c r="W235" s="338">
        <f t="shared" si="325"/>
        <v>0</v>
      </c>
      <c r="X235" s="338">
        <f t="shared" si="326"/>
        <v>0</v>
      </c>
      <c r="Y235" s="338">
        <f t="shared" si="327"/>
        <v>0</v>
      </c>
      <c r="Z235" s="338">
        <f t="shared" si="328"/>
        <v>0</v>
      </c>
      <c r="AA235" s="199">
        <v>3</v>
      </c>
      <c r="AB235" s="176">
        <v>9</v>
      </c>
      <c r="AC235" s="177">
        <v>1</v>
      </c>
      <c r="AD235" s="238">
        <f t="shared" si="329"/>
        <v>0</v>
      </c>
      <c r="AE235" s="238">
        <f t="shared" si="330"/>
        <v>0</v>
      </c>
      <c r="AF235" s="238">
        <f t="shared" si="331"/>
        <v>0</v>
      </c>
      <c r="AG235" s="238">
        <f>M235*VLOOKUP($AA235,'SKOR PPH'!$B$13:$D$21,3,FALSE)</f>
        <v>0</v>
      </c>
      <c r="AH235" s="238">
        <f>N235*VLOOKUP($AA235,'SKOR PPH'!$B$13:$D$21,3,FALSE)</f>
        <v>0</v>
      </c>
      <c r="AI235" s="238">
        <f>O235*VLOOKUP($AA235,'SKOR PPH'!$B$13:$D$21,3,FALSE)</f>
        <v>0</v>
      </c>
      <c r="AJ235" s="238">
        <f>P235*VLOOKUP($AA235,'SKOR PPH'!$B$13:$D$21,3,FALSE)</f>
        <v>0</v>
      </c>
      <c r="AK235" s="238">
        <f>$AD235*VLOOKUP($AA235,'SKOR PPH'!$B$13:$D$21,3,FALSE)</f>
        <v>0</v>
      </c>
      <c r="AL235" s="238">
        <f>R235*VLOOKUP($AA235,'SKOR PPH'!$B$13:$D$21,3,FALSE)</f>
        <v>0</v>
      </c>
      <c r="AM235" s="238">
        <f>S235*VLOOKUP($AA235,'SKOR PPH'!$B$13:$D$21,3,FALSE)</f>
        <v>0</v>
      </c>
      <c r="AN235" s="238">
        <f>T235*VLOOKUP($AA235,'SKOR PPH'!$B$13:$D$21,3,FALSE)</f>
        <v>0</v>
      </c>
      <c r="AO235" s="238">
        <f>U235*VLOOKUP($AA235,'SKOR PPH'!$B$13:$D$21,3,FALSE)</f>
        <v>0</v>
      </c>
      <c r="AP235" s="238">
        <f>$AE235*VLOOKUP($AA235,'SKOR PPH'!$B$13:$D$21,3,FALSE)</f>
        <v>0</v>
      </c>
      <c r="AQ235" s="238">
        <f>W235*VLOOKUP($AA235,'SKOR PPH'!$B$13:$D$21,3,FALSE)</f>
        <v>0</v>
      </c>
      <c r="AR235" s="238">
        <f>X235*VLOOKUP($AA235,'SKOR PPH'!$B$13:$D$21,3,FALSE)</f>
        <v>0</v>
      </c>
      <c r="AS235" s="238">
        <f>Y235*VLOOKUP($AA235,'SKOR PPH'!$B$13:$D$21,3,FALSE)</f>
        <v>0</v>
      </c>
      <c r="AT235" s="238">
        <f>Z235*VLOOKUP($AA235,'SKOR PPH'!$B$13:$D$21,3,FALSE)</f>
        <v>0</v>
      </c>
      <c r="AU235" s="238">
        <f>$AF235*VLOOKUP($AA235,'SKOR PPH'!$B$13:$D$21,3,FALSE)</f>
        <v>0</v>
      </c>
    </row>
    <row r="236" spans="2:47" ht="15" customHeight="1" x14ac:dyDescent="0.2">
      <c r="B236" s="199" t="s">
        <v>280</v>
      </c>
      <c r="C236" s="212">
        <v>250</v>
      </c>
      <c r="D236" s="149">
        <v>529</v>
      </c>
      <c r="E236" s="243">
        <v>6.82</v>
      </c>
      <c r="F236" s="149">
        <v>22.1</v>
      </c>
      <c r="G236" s="261">
        <v>70.8</v>
      </c>
      <c r="H236" s="208" t="s">
        <v>127</v>
      </c>
      <c r="I236" s="311">
        <v>9.1826925787871407E-3</v>
      </c>
      <c r="J236" s="311">
        <v>0.11040485134056155</v>
      </c>
      <c r="K236" s="311">
        <v>0.11958754391934874</v>
      </c>
      <c r="L236" s="144">
        <f t="shared" si="314"/>
        <v>0.32795330638525499</v>
      </c>
      <c r="M236" s="144">
        <f t="shared" si="315"/>
        <v>0.69394919631119956</v>
      </c>
      <c r="N236" s="144">
        <f t="shared" si="316"/>
        <v>8.9465661981897576E-3</v>
      </c>
      <c r="O236" s="144">
        <f t="shared" si="317"/>
        <v>2.8991072284456545E-2</v>
      </c>
      <c r="P236" s="144">
        <f t="shared" si="318"/>
        <v>9.2876376368304231E-2</v>
      </c>
      <c r="Q236" s="144">
        <f t="shared" si="319"/>
        <v>3.9430304050200555</v>
      </c>
      <c r="R236" s="144">
        <f t="shared" si="320"/>
        <v>8.3434523370224376</v>
      </c>
      <c r="S236" s="144">
        <f t="shared" si="321"/>
        <v>0.10756586944894711</v>
      </c>
      <c r="T236" s="144">
        <f t="shared" si="322"/>
        <v>0.34856388780377295</v>
      </c>
      <c r="U236" s="144">
        <f t="shared" si="323"/>
        <v>1.1166662107016796</v>
      </c>
      <c r="V236" s="338">
        <f t="shared" si="324"/>
        <v>4.2709837114053126</v>
      </c>
      <c r="W236" s="338">
        <f t="shared" si="325"/>
        <v>9.0374015333336413</v>
      </c>
      <c r="X236" s="338">
        <f t="shared" si="326"/>
        <v>0.11651243564713691</v>
      </c>
      <c r="Y236" s="338">
        <f t="shared" si="327"/>
        <v>0.37755496008822964</v>
      </c>
      <c r="Z236" s="338">
        <f t="shared" si="328"/>
        <v>1.2095425870699843</v>
      </c>
      <c r="AA236" s="199">
        <v>1</v>
      </c>
      <c r="AB236" s="176">
        <v>3</v>
      </c>
      <c r="AC236" s="177">
        <v>0.25</v>
      </c>
      <c r="AD236" s="238">
        <f t="shared" si="329"/>
        <v>8.1988326596313749E-2</v>
      </c>
      <c r="AE236" s="238">
        <f t="shared" si="330"/>
        <v>0.98575760125501388</v>
      </c>
      <c r="AF236" s="238">
        <f t="shared" si="331"/>
        <v>1.0677459278513282</v>
      </c>
      <c r="AG236" s="238">
        <f>M236*VLOOKUP($AA236,'SKOR PPH'!$B$13:$D$21,3,FALSE)</f>
        <v>0.72052745052991851</v>
      </c>
      <c r="AH236" s="238">
        <f>N236*VLOOKUP($AA236,'SKOR PPH'!$B$13:$D$21,3,FALSE)</f>
        <v>9.2892196835804245E-3</v>
      </c>
      <c r="AI236" s="238">
        <f>O236*VLOOKUP($AA236,'SKOR PPH'!$B$13:$D$21,3,FALSE)</f>
        <v>3.0101430352951229E-2</v>
      </c>
      <c r="AJ236" s="238">
        <f>P236*VLOOKUP($AA236,'SKOR PPH'!$B$13:$D$21,3,FALSE)</f>
        <v>9.6433541583210283E-2</v>
      </c>
      <c r="AK236" s="238">
        <f>$AD236*VLOOKUP($AA236,'SKOR PPH'!$B$13:$D$21,3,FALSE)</f>
        <v>8.5128479504952559E-2</v>
      </c>
      <c r="AL236" s="238">
        <f>R236*VLOOKUP($AA236,'SKOR PPH'!$B$13:$D$21,3,FALSE)</f>
        <v>8.6630065615303966</v>
      </c>
      <c r="AM236" s="238">
        <f>S236*VLOOKUP($AA236,'SKOR PPH'!$B$13:$D$21,3,FALSE)</f>
        <v>0.11168564224884178</v>
      </c>
      <c r="AN236" s="238">
        <f>T236*VLOOKUP($AA236,'SKOR PPH'!$B$13:$D$21,3,FALSE)</f>
        <v>0.36191388470665747</v>
      </c>
      <c r="AO236" s="238">
        <f>U236*VLOOKUP($AA236,'SKOR PPH'!$B$13:$D$21,3,FALSE)</f>
        <v>1.159434526571554</v>
      </c>
      <c r="AP236" s="238">
        <f>$AE236*VLOOKUP($AA236,'SKOR PPH'!$B$13:$D$21,3,FALSE)</f>
        <v>1.023512117383081</v>
      </c>
      <c r="AQ236" s="238">
        <f>W236*VLOOKUP($AA236,'SKOR PPH'!$B$13:$D$21,3,FALSE)</f>
        <v>9.3835340120603199</v>
      </c>
      <c r="AR236" s="238">
        <f>X236*VLOOKUP($AA236,'SKOR PPH'!$B$13:$D$21,3,FALSE)</f>
        <v>0.12097486193242225</v>
      </c>
      <c r="AS236" s="238">
        <f>Y236*VLOOKUP($AA236,'SKOR PPH'!$B$13:$D$21,3,FALSE)</f>
        <v>0.39201531505960885</v>
      </c>
      <c r="AT236" s="238">
        <f>Z236*VLOOKUP($AA236,'SKOR PPH'!$B$13:$D$21,3,FALSE)</f>
        <v>1.2558680681547647</v>
      </c>
      <c r="AU236" s="238">
        <f>$AF236*VLOOKUP($AA236,'SKOR PPH'!$B$13:$D$21,3,FALSE)</f>
        <v>1.108640596888034</v>
      </c>
    </row>
    <row r="237" spans="2:47" ht="15" customHeight="1" x14ac:dyDescent="0.2">
      <c r="B237" s="199" t="s">
        <v>116</v>
      </c>
      <c r="C237" s="212">
        <v>250</v>
      </c>
      <c r="D237" s="149">
        <v>356</v>
      </c>
      <c r="E237" s="243">
        <v>8</v>
      </c>
      <c r="F237" s="149">
        <v>13.6</v>
      </c>
      <c r="G237" s="261">
        <v>48</v>
      </c>
      <c r="H237" s="208" t="s">
        <v>127</v>
      </c>
      <c r="I237" s="311">
        <v>0</v>
      </c>
      <c r="J237" s="311">
        <v>0</v>
      </c>
      <c r="K237" s="311">
        <v>0</v>
      </c>
      <c r="L237" s="144">
        <f t="shared" si="314"/>
        <v>0</v>
      </c>
      <c r="M237" s="144">
        <f t="shared" si="315"/>
        <v>0</v>
      </c>
      <c r="N237" s="144">
        <f t="shared" si="316"/>
        <v>0</v>
      </c>
      <c r="O237" s="144">
        <f t="shared" si="317"/>
        <v>0</v>
      </c>
      <c r="P237" s="144">
        <f t="shared" si="318"/>
        <v>0</v>
      </c>
      <c r="Q237" s="144">
        <f t="shared" si="319"/>
        <v>0</v>
      </c>
      <c r="R237" s="144">
        <f t="shared" si="320"/>
        <v>0</v>
      </c>
      <c r="S237" s="144">
        <f t="shared" si="321"/>
        <v>0</v>
      </c>
      <c r="T237" s="144">
        <f t="shared" si="322"/>
        <v>0</v>
      </c>
      <c r="U237" s="144">
        <f t="shared" si="323"/>
        <v>0</v>
      </c>
      <c r="V237" s="338">
        <f t="shared" si="324"/>
        <v>0</v>
      </c>
      <c r="W237" s="338">
        <f t="shared" si="325"/>
        <v>0</v>
      </c>
      <c r="X237" s="338">
        <f t="shared" si="326"/>
        <v>0</v>
      </c>
      <c r="Y237" s="338">
        <f t="shared" si="327"/>
        <v>0</v>
      </c>
      <c r="Z237" s="338">
        <f t="shared" si="328"/>
        <v>0</v>
      </c>
      <c r="AA237" s="199">
        <v>1</v>
      </c>
      <c r="AB237" s="176">
        <v>3</v>
      </c>
      <c r="AC237" s="177">
        <v>0.5</v>
      </c>
      <c r="AD237" s="238">
        <f t="shared" si="329"/>
        <v>0</v>
      </c>
      <c r="AE237" s="238">
        <f t="shared" si="330"/>
        <v>0</v>
      </c>
      <c r="AF237" s="238">
        <f t="shared" si="331"/>
        <v>0</v>
      </c>
      <c r="AG237" s="238">
        <f>M237*VLOOKUP($AA237,'SKOR PPH'!$B$13:$D$21,3,FALSE)</f>
        <v>0</v>
      </c>
      <c r="AH237" s="238">
        <f>N237*VLOOKUP($AA237,'SKOR PPH'!$B$13:$D$21,3,FALSE)</f>
        <v>0</v>
      </c>
      <c r="AI237" s="238">
        <f>O237*VLOOKUP($AA237,'SKOR PPH'!$B$13:$D$21,3,FALSE)</f>
        <v>0</v>
      </c>
      <c r="AJ237" s="238">
        <f>P237*VLOOKUP($AA237,'SKOR PPH'!$B$13:$D$21,3,FALSE)</f>
        <v>0</v>
      </c>
      <c r="AK237" s="238">
        <f>$AD237*VLOOKUP($AA237,'SKOR PPH'!$B$13:$D$21,3,FALSE)</f>
        <v>0</v>
      </c>
      <c r="AL237" s="238">
        <f>R237*VLOOKUP($AA237,'SKOR PPH'!$B$13:$D$21,3,FALSE)</f>
        <v>0</v>
      </c>
      <c r="AM237" s="238">
        <f>S237*VLOOKUP($AA237,'SKOR PPH'!$B$13:$D$21,3,FALSE)</f>
        <v>0</v>
      </c>
      <c r="AN237" s="238">
        <f>T237*VLOOKUP($AA237,'SKOR PPH'!$B$13:$D$21,3,FALSE)</f>
        <v>0</v>
      </c>
      <c r="AO237" s="238">
        <f>U237*VLOOKUP($AA237,'SKOR PPH'!$B$13:$D$21,3,FALSE)</f>
        <v>0</v>
      </c>
      <c r="AP237" s="238">
        <f>$AE237*VLOOKUP($AA237,'SKOR PPH'!$B$13:$D$21,3,FALSE)</f>
        <v>0</v>
      </c>
      <c r="AQ237" s="238">
        <f>W237*VLOOKUP($AA237,'SKOR PPH'!$B$13:$D$21,3,FALSE)</f>
        <v>0</v>
      </c>
      <c r="AR237" s="238">
        <f>X237*VLOOKUP($AA237,'SKOR PPH'!$B$13:$D$21,3,FALSE)</f>
        <v>0</v>
      </c>
      <c r="AS237" s="238">
        <f>Y237*VLOOKUP($AA237,'SKOR PPH'!$B$13:$D$21,3,FALSE)</f>
        <v>0</v>
      </c>
      <c r="AT237" s="238">
        <f>Z237*VLOOKUP($AA237,'SKOR PPH'!$B$13:$D$21,3,FALSE)</f>
        <v>0</v>
      </c>
      <c r="AU237" s="238">
        <f>$AF237*VLOOKUP($AA237,'SKOR PPH'!$B$13:$D$21,3,FALSE)</f>
        <v>0</v>
      </c>
    </row>
    <row r="238" spans="2:47" ht="15" customHeight="1" x14ac:dyDescent="0.2">
      <c r="B238" s="199" t="s">
        <v>281</v>
      </c>
      <c r="C238" s="212">
        <v>100</v>
      </c>
      <c r="D238" s="149">
        <v>509.1</v>
      </c>
      <c r="E238" s="243">
        <v>6.28</v>
      </c>
      <c r="F238" s="149">
        <v>23.32</v>
      </c>
      <c r="G238" s="261">
        <v>60.4</v>
      </c>
      <c r="H238" s="208" t="s">
        <v>36</v>
      </c>
      <c r="I238" s="311">
        <v>1.8028914298558612E-2</v>
      </c>
      <c r="J238" s="311">
        <v>0.62945282282980153</v>
      </c>
      <c r="K238" s="311">
        <v>0.64748173712836032</v>
      </c>
      <c r="L238" s="144">
        <f t="shared" si="314"/>
        <v>0.25755591855083732</v>
      </c>
      <c r="M238" s="144">
        <f t="shared" si="315"/>
        <v>1.3112171813423128</v>
      </c>
      <c r="N238" s="144">
        <f t="shared" si="316"/>
        <v>1.6174511684992583E-2</v>
      </c>
      <c r="O238" s="144">
        <f t="shared" si="317"/>
        <v>6.006204020605526E-2</v>
      </c>
      <c r="P238" s="144">
        <f t="shared" si="318"/>
        <v>0.15556377480470571</v>
      </c>
      <c r="Q238" s="144">
        <f t="shared" si="319"/>
        <v>8.9921831832828794</v>
      </c>
      <c r="R238" s="144">
        <f t="shared" si="320"/>
        <v>45.779204586093144</v>
      </c>
      <c r="S238" s="144">
        <f t="shared" si="321"/>
        <v>0.56470910391016482</v>
      </c>
      <c r="T238" s="144">
        <f t="shared" si="322"/>
        <v>2.0969771183415675</v>
      </c>
      <c r="U238" s="144">
        <f t="shared" si="323"/>
        <v>5.4312786427028588</v>
      </c>
      <c r="V238" s="338">
        <f t="shared" si="324"/>
        <v>9.2497391018337201</v>
      </c>
      <c r="W238" s="338">
        <f t="shared" si="325"/>
        <v>47.090421767435465</v>
      </c>
      <c r="X238" s="338">
        <f t="shared" si="326"/>
        <v>0.58088361559515767</v>
      </c>
      <c r="Y238" s="338">
        <f t="shared" si="327"/>
        <v>2.1570391585476232</v>
      </c>
      <c r="Z238" s="338">
        <f t="shared" si="328"/>
        <v>5.5868424175075662</v>
      </c>
      <c r="AA238" s="199">
        <v>1</v>
      </c>
      <c r="AB238" s="176">
        <v>3</v>
      </c>
      <c r="AC238" s="177">
        <v>0.9</v>
      </c>
      <c r="AD238" s="238">
        <f t="shared" si="329"/>
        <v>0.23180032669575359</v>
      </c>
      <c r="AE238" s="238">
        <f t="shared" si="330"/>
        <v>8.0929648649545918</v>
      </c>
      <c r="AF238" s="238">
        <f t="shared" si="331"/>
        <v>8.3247651916503482</v>
      </c>
      <c r="AG238" s="238">
        <f>M238*VLOOKUP($AA238,'SKOR PPH'!$B$13:$D$21,3,FALSE)</f>
        <v>1.3614367993877234</v>
      </c>
      <c r="AH238" s="238">
        <f>N238*VLOOKUP($AA238,'SKOR PPH'!$B$13:$D$21,3,FALSE)</f>
        <v>1.6793995482527798E-2</v>
      </c>
      <c r="AI238" s="238">
        <f>O238*VLOOKUP($AA238,'SKOR PPH'!$B$13:$D$21,3,FALSE)</f>
        <v>6.2362416345947178E-2</v>
      </c>
      <c r="AJ238" s="238">
        <f>P238*VLOOKUP($AA238,'SKOR PPH'!$B$13:$D$21,3,FALSE)</f>
        <v>0.16152186737972593</v>
      </c>
      <c r="AK238" s="238">
        <f>$AD238*VLOOKUP($AA238,'SKOR PPH'!$B$13:$D$21,3,FALSE)</f>
        <v>0.24067827920820095</v>
      </c>
      <c r="AL238" s="238">
        <f>R238*VLOOKUP($AA238,'SKOR PPH'!$B$13:$D$21,3,FALSE)</f>
        <v>47.532548121740511</v>
      </c>
      <c r="AM238" s="238">
        <f>S238*VLOOKUP($AA238,'SKOR PPH'!$B$13:$D$21,3,FALSE)</f>
        <v>0.58633746258992414</v>
      </c>
      <c r="AN238" s="238">
        <f>T238*VLOOKUP($AA238,'SKOR PPH'!$B$13:$D$21,3,FALSE)</f>
        <v>2.1772913419740494</v>
      </c>
      <c r="AO238" s="238">
        <f>U238*VLOOKUP($AA238,'SKOR PPH'!$B$13:$D$21,3,FALSE)</f>
        <v>5.6392966147183783</v>
      </c>
      <c r="AP238" s="238">
        <f>$AE238*VLOOKUP($AA238,'SKOR PPH'!$B$13:$D$21,3,FALSE)</f>
        <v>8.4029254192823526</v>
      </c>
      <c r="AQ238" s="238">
        <f>W238*VLOOKUP($AA238,'SKOR PPH'!$B$13:$D$21,3,FALSE)</f>
        <v>48.893984921128244</v>
      </c>
      <c r="AR238" s="238">
        <f>X238*VLOOKUP($AA238,'SKOR PPH'!$B$13:$D$21,3,FALSE)</f>
        <v>0.60313145807245216</v>
      </c>
      <c r="AS238" s="238">
        <f>Y238*VLOOKUP($AA238,'SKOR PPH'!$B$13:$D$21,3,FALSE)</f>
        <v>2.2396537583199971</v>
      </c>
      <c r="AT238" s="238">
        <f>Z238*VLOOKUP($AA238,'SKOR PPH'!$B$13:$D$21,3,FALSE)</f>
        <v>5.8008184820981059</v>
      </c>
      <c r="AU238" s="238">
        <f>$AF238*VLOOKUP($AA238,'SKOR PPH'!$B$13:$D$21,3,FALSE)</f>
        <v>8.6436036984905567</v>
      </c>
    </row>
    <row r="239" spans="2:47" ht="15" customHeight="1" x14ac:dyDescent="0.2">
      <c r="B239" s="199" t="s">
        <v>282</v>
      </c>
      <c r="C239" s="212">
        <v>75</v>
      </c>
      <c r="D239" s="149">
        <v>624</v>
      </c>
      <c r="E239" s="243">
        <v>70.349999999999994</v>
      </c>
      <c r="F239" s="149">
        <v>35.85</v>
      </c>
      <c r="G239" s="261">
        <v>0</v>
      </c>
      <c r="H239" s="208" t="s">
        <v>126</v>
      </c>
      <c r="I239" s="311">
        <v>2.9473059953424399E-3</v>
      </c>
      <c r="J239" s="311">
        <v>4.79966912503271E-2</v>
      </c>
      <c r="K239" s="311">
        <v>5.0943997245669538E-2</v>
      </c>
      <c r="L239" s="144">
        <f t="shared" si="314"/>
        <v>3.1578278521526143E-2</v>
      </c>
      <c r="M239" s="144">
        <f t="shared" si="315"/>
        <v>0.26273127729909751</v>
      </c>
      <c r="N239" s="144">
        <f t="shared" si="316"/>
        <v>2.9620425253191519E-2</v>
      </c>
      <c r="O239" s="144">
        <f t="shared" si="317"/>
        <v>1.5094417133289495E-2</v>
      </c>
      <c r="P239" s="144">
        <f t="shared" si="318"/>
        <v>0</v>
      </c>
      <c r="Q239" s="144">
        <f t="shared" si="319"/>
        <v>0.51425026339636182</v>
      </c>
      <c r="R239" s="144">
        <f t="shared" si="320"/>
        <v>4.2785621914577296</v>
      </c>
      <c r="S239" s="144">
        <f t="shared" si="321"/>
        <v>0.4823667470657873</v>
      </c>
      <c r="T239" s="144">
        <f t="shared" si="322"/>
        <v>0.24581162590346092</v>
      </c>
      <c r="U239" s="144">
        <f t="shared" si="323"/>
        <v>0</v>
      </c>
      <c r="V239" s="338">
        <f t="shared" si="324"/>
        <v>0.54582854191788788</v>
      </c>
      <c r="W239" s="338">
        <f t="shared" si="325"/>
        <v>4.5412934687568276</v>
      </c>
      <c r="X239" s="338">
        <f t="shared" si="326"/>
        <v>0.51198717231897883</v>
      </c>
      <c r="Y239" s="338">
        <f t="shared" si="327"/>
        <v>0.26090604303675041</v>
      </c>
      <c r="Z239" s="338">
        <f t="shared" si="328"/>
        <v>0</v>
      </c>
      <c r="AA239" s="199">
        <v>3</v>
      </c>
      <c r="AB239" s="176">
        <v>13</v>
      </c>
      <c r="AC239" s="240">
        <v>1</v>
      </c>
      <c r="AD239" s="238">
        <f t="shared" si="329"/>
        <v>3.1578278521526143E-2</v>
      </c>
      <c r="AE239" s="238">
        <f t="shared" si="330"/>
        <v>0.51425026339636182</v>
      </c>
      <c r="AF239" s="238">
        <f t="shared" si="331"/>
        <v>0.54582854191788788</v>
      </c>
      <c r="AG239" s="238">
        <f>M239*VLOOKUP($AA239,'SKOR PPH'!$B$13:$D$21,3,FALSE)</f>
        <v>0.2846430658258422</v>
      </c>
      <c r="AH239" s="238">
        <f>N239*VLOOKUP($AA239,'SKOR PPH'!$B$13:$D$21,3,FALSE)</f>
        <v>3.2090768719307688E-2</v>
      </c>
      <c r="AI239" s="238">
        <f>O239*VLOOKUP($AA239,'SKOR PPH'!$B$13:$D$21,3,FALSE)</f>
        <v>1.6353291522205837E-2</v>
      </c>
      <c r="AJ239" s="238">
        <f>P239*VLOOKUP($AA239,'SKOR PPH'!$B$13:$D$21,3,FALSE)</f>
        <v>0</v>
      </c>
      <c r="AK239" s="238">
        <f>$AD239*VLOOKUP($AA239,'SKOR PPH'!$B$13:$D$21,3,FALSE)</f>
        <v>3.4211906950221423E-2</v>
      </c>
      <c r="AL239" s="238">
        <f>R239*VLOOKUP($AA239,'SKOR PPH'!$B$13:$D$21,3,FALSE)</f>
        <v>4.6353942782253039</v>
      </c>
      <c r="AM239" s="238">
        <f>S239*VLOOKUP($AA239,'SKOR PPH'!$B$13:$D$21,3,FALSE)</f>
        <v>0.52259613377107395</v>
      </c>
      <c r="AN239" s="238">
        <f>T239*VLOOKUP($AA239,'SKOR PPH'!$B$13:$D$21,3,FALSE)</f>
        <v>0.26631231550380957</v>
      </c>
      <c r="AO239" s="238">
        <f>U239*VLOOKUP($AA239,'SKOR PPH'!$B$13:$D$21,3,FALSE)</f>
        <v>0</v>
      </c>
      <c r="AP239" s="238">
        <f>$AE239*VLOOKUP($AA239,'SKOR PPH'!$B$13:$D$21,3,FALSE)</f>
        <v>0.55713873536361835</v>
      </c>
      <c r="AQ239" s="238">
        <f>W239*VLOOKUP($AA239,'SKOR PPH'!$B$13:$D$21,3,FALSE)</f>
        <v>4.9200373440511465</v>
      </c>
      <c r="AR239" s="238">
        <f>X239*VLOOKUP($AA239,'SKOR PPH'!$B$13:$D$21,3,FALSE)</f>
        <v>0.55468690249038166</v>
      </c>
      <c r="AS239" s="238">
        <f>Y239*VLOOKUP($AA239,'SKOR PPH'!$B$13:$D$21,3,FALSE)</f>
        <v>0.2826656070260154</v>
      </c>
      <c r="AT239" s="238">
        <f>Z239*VLOOKUP($AA239,'SKOR PPH'!$B$13:$D$21,3,FALSE)</f>
        <v>0</v>
      </c>
      <c r="AU239" s="238">
        <f>$AF239*VLOOKUP($AA239,'SKOR PPH'!$B$13:$D$21,3,FALSE)</f>
        <v>0.59135064231383971</v>
      </c>
    </row>
    <row r="240" spans="2:47" ht="15" customHeight="1" x14ac:dyDescent="0.2">
      <c r="B240" s="199" t="s">
        <v>283</v>
      </c>
      <c r="C240" s="212">
        <v>150</v>
      </c>
      <c r="D240" s="149">
        <v>490</v>
      </c>
      <c r="E240" s="243">
        <v>66.2</v>
      </c>
      <c r="F240" s="149">
        <v>22.8</v>
      </c>
      <c r="G240" s="261">
        <v>0.6</v>
      </c>
      <c r="H240" s="208" t="s">
        <v>126</v>
      </c>
      <c r="I240" s="311">
        <v>1.0314250435503115E-3</v>
      </c>
      <c r="J240" s="311">
        <v>1.5365684721359775E-2</v>
      </c>
      <c r="K240" s="311">
        <v>1.6397109764910083E-2</v>
      </c>
      <c r="L240" s="144">
        <f t="shared" si="314"/>
        <v>2.2101965218935243E-2</v>
      </c>
      <c r="M240" s="144">
        <f t="shared" si="315"/>
        <v>7.2199753048521803E-2</v>
      </c>
      <c r="N240" s="144">
        <f t="shared" si="316"/>
        <v>9.7543339832900887E-3</v>
      </c>
      <c r="O240" s="144">
        <f t="shared" si="317"/>
        <v>3.3594987132781573E-3</v>
      </c>
      <c r="P240" s="144">
        <f t="shared" si="318"/>
        <v>8.8407860875740983E-5</v>
      </c>
      <c r="Q240" s="144">
        <f t="shared" si="319"/>
        <v>0.32926467260056658</v>
      </c>
      <c r="R240" s="144">
        <f t="shared" si="320"/>
        <v>1.0755979304951844</v>
      </c>
      <c r="S240" s="144">
        <f t="shared" si="321"/>
        <v>0.14531547550771676</v>
      </c>
      <c r="T240" s="144">
        <f t="shared" si="322"/>
        <v>5.004823023528613E-2</v>
      </c>
      <c r="U240" s="144">
        <f t="shared" si="323"/>
        <v>1.3170586904022662E-3</v>
      </c>
      <c r="V240" s="338">
        <f t="shared" si="324"/>
        <v>0.35136663781950178</v>
      </c>
      <c r="W240" s="338">
        <f t="shared" si="325"/>
        <v>1.1477976835437058</v>
      </c>
      <c r="X240" s="338">
        <f t="shared" si="326"/>
        <v>0.15506980949100679</v>
      </c>
      <c r="Y240" s="338">
        <f t="shared" si="327"/>
        <v>5.340772894856427E-2</v>
      </c>
      <c r="Z240" s="338">
        <f t="shared" si="328"/>
        <v>1.4054665512780071E-3</v>
      </c>
      <c r="AA240" s="199">
        <v>3</v>
      </c>
      <c r="AB240" s="176">
        <v>10</v>
      </c>
      <c r="AC240" s="177">
        <v>1</v>
      </c>
      <c r="AD240" s="238">
        <f t="shared" si="329"/>
        <v>2.2101965218935243E-2</v>
      </c>
      <c r="AE240" s="238">
        <f t="shared" si="330"/>
        <v>0.32926467260056658</v>
      </c>
      <c r="AF240" s="238">
        <f t="shared" si="331"/>
        <v>0.35136663781950178</v>
      </c>
      <c r="AG240" s="238">
        <f>M240*VLOOKUP($AA240,'SKOR PPH'!$B$13:$D$21,3,FALSE)</f>
        <v>7.8221212452768515E-2</v>
      </c>
      <c r="AH240" s="238">
        <f>N240*VLOOKUP($AA240,'SKOR PPH'!$B$13:$D$21,3,FALSE)</f>
        <v>1.0567845437496481E-2</v>
      </c>
      <c r="AI240" s="238">
        <f>O240*VLOOKUP($AA240,'SKOR PPH'!$B$13:$D$21,3,FALSE)</f>
        <v>3.6396809059655554E-3</v>
      </c>
      <c r="AJ240" s="238">
        <f>P240*VLOOKUP($AA240,'SKOR PPH'!$B$13:$D$21,3,FALSE)</f>
        <v>9.5781076472777773E-5</v>
      </c>
      <c r="AK240" s="238">
        <f>$AD240*VLOOKUP($AA240,'SKOR PPH'!$B$13:$D$21,3,FALSE)</f>
        <v>2.3945269118194439E-2</v>
      </c>
      <c r="AL240" s="238">
        <f>R240*VLOOKUP($AA240,'SKOR PPH'!$B$13:$D$21,3,FALSE)</f>
        <v>1.1653027978984827</v>
      </c>
      <c r="AM240" s="238">
        <f>S240*VLOOKUP($AA240,'SKOR PPH'!$B$13:$D$21,3,FALSE)</f>
        <v>0.15743478616506032</v>
      </c>
      <c r="AN240" s="238">
        <f>T240*VLOOKUP($AA240,'SKOR PPH'!$B$13:$D$21,3,FALSE)</f>
        <v>5.4222252636908989E-2</v>
      </c>
      <c r="AO240" s="238">
        <f>U240*VLOOKUP($AA240,'SKOR PPH'!$B$13:$D$21,3,FALSE)</f>
        <v>1.4269013851818152E-3</v>
      </c>
      <c r="AP240" s="238">
        <f>$AE240*VLOOKUP($AA240,'SKOR PPH'!$B$13:$D$21,3,FALSE)</f>
        <v>0.35672534629545383</v>
      </c>
      <c r="AQ240" s="238">
        <f>W240*VLOOKUP($AA240,'SKOR PPH'!$B$13:$D$21,3,FALSE)</f>
        <v>1.2435240103512508</v>
      </c>
      <c r="AR240" s="238">
        <f>X240*VLOOKUP($AA240,'SKOR PPH'!$B$13:$D$21,3,FALSE)</f>
        <v>0.16800263160255674</v>
      </c>
      <c r="AS240" s="238">
        <f>Y240*VLOOKUP($AA240,'SKOR PPH'!$B$13:$D$21,3,FALSE)</f>
        <v>5.7861933542874527E-2</v>
      </c>
      <c r="AT240" s="238">
        <f>Z240*VLOOKUP($AA240,'SKOR PPH'!$B$13:$D$21,3,FALSE)</f>
        <v>1.5226824616545928E-3</v>
      </c>
      <c r="AU240" s="238">
        <f>$AF240*VLOOKUP($AA240,'SKOR PPH'!$B$13:$D$21,3,FALSE)</f>
        <v>0.38067061541364822</v>
      </c>
    </row>
    <row r="241" spans="2:47" ht="15" customHeight="1" x14ac:dyDescent="0.2">
      <c r="B241" s="199" t="s">
        <v>284</v>
      </c>
      <c r="C241" s="212">
        <v>30</v>
      </c>
      <c r="D241" s="149">
        <v>246.3</v>
      </c>
      <c r="E241" s="243">
        <v>8.9</v>
      </c>
      <c r="F241" s="149">
        <v>11.29</v>
      </c>
      <c r="G241" s="261">
        <v>24.2</v>
      </c>
      <c r="H241" s="208" t="s">
        <v>129</v>
      </c>
      <c r="I241" s="311">
        <v>0</v>
      </c>
      <c r="J241" s="311">
        <v>0</v>
      </c>
      <c r="K241" s="311">
        <v>0</v>
      </c>
      <c r="L241" s="144">
        <f t="shared" si="314"/>
        <v>0</v>
      </c>
      <c r="M241" s="144">
        <f t="shared" si="315"/>
        <v>0</v>
      </c>
      <c r="N241" s="144">
        <f t="shared" si="316"/>
        <v>0</v>
      </c>
      <c r="O241" s="144">
        <f t="shared" si="317"/>
        <v>0</v>
      </c>
      <c r="P241" s="144">
        <f t="shared" si="318"/>
        <v>0</v>
      </c>
      <c r="Q241" s="144">
        <f t="shared" si="319"/>
        <v>0</v>
      </c>
      <c r="R241" s="144">
        <f t="shared" si="320"/>
        <v>0</v>
      </c>
      <c r="S241" s="144">
        <f t="shared" si="321"/>
        <v>0</v>
      </c>
      <c r="T241" s="144">
        <f t="shared" si="322"/>
        <v>0</v>
      </c>
      <c r="U241" s="144">
        <f t="shared" si="323"/>
        <v>0</v>
      </c>
      <c r="V241" s="338">
        <f t="shared" si="324"/>
        <v>0</v>
      </c>
      <c r="W241" s="338">
        <f t="shared" si="325"/>
        <v>0</v>
      </c>
      <c r="X241" s="338">
        <f t="shared" si="326"/>
        <v>0</v>
      </c>
      <c r="Y241" s="338">
        <f t="shared" si="327"/>
        <v>0</v>
      </c>
      <c r="Z241" s="338">
        <f t="shared" si="328"/>
        <v>0</v>
      </c>
      <c r="AA241" s="199">
        <v>1</v>
      </c>
      <c r="AB241" s="176">
        <v>3</v>
      </c>
      <c r="AC241" s="240">
        <v>1</v>
      </c>
      <c r="AD241" s="238">
        <f t="shared" si="329"/>
        <v>0</v>
      </c>
      <c r="AE241" s="238">
        <f t="shared" si="330"/>
        <v>0</v>
      </c>
      <c r="AF241" s="238">
        <f t="shared" si="331"/>
        <v>0</v>
      </c>
      <c r="AG241" s="238">
        <f>M241*VLOOKUP($AA241,'SKOR PPH'!$B$13:$D$21,3,FALSE)</f>
        <v>0</v>
      </c>
      <c r="AH241" s="238">
        <f>N241*VLOOKUP($AA241,'SKOR PPH'!$B$13:$D$21,3,FALSE)</f>
        <v>0</v>
      </c>
      <c r="AI241" s="238">
        <f>O241*VLOOKUP($AA241,'SKOR PPH'!$B$13:$D$21,3,FALSE)</f>
        <v>0</v>
      </c>
      <c r="AJ241" s="238">
        <f>P241*VLOOKUP($AA241,'SKOR PPH'!$B$13:$D$21,3,FALSE)</f>
        <v>0</v>
      </c>
      <c r="AK241" s="238">
        <f>$AD241*VLOOKUP($AA241,'SKOR PPH'!$B$13:$D$21,3,FALSE)</f>
        <v>0</v>
      </c>
      <c r="AL241" s="238">
        <f>R241*VLOOKUP($AA241,'SKOR PPH'!$B$13:$D$21,3,FALSE)</f>
        <v>0</v>
      </c>
      <c r="AM241" s="238">
        <f>S241*VLOOKUP($AA241,'SKOR PPH'!$B$13:$D$21,3,FALSE)</f>
        <v>0</v>
      </c>
      <c r="AN241" s="238">
        <f>T241*VLOOKUP($AA241,'SKOR PPH'!$B$13:$D$21,3,FALSE)</f>
        <v>0</v>
      </c>
      <c r="AO241" s="238">
        <f>U241*VLOOKUP($AA241,'SKOR PPH'!$B$13:$D$21,3,FALSE)</f>
        <v>0</v>
      </c>
      <c r="AP241" s="238">
        <f>$AE241*VLOOKUP($AA241,'SKOR PPH'!$B$13:$D$21,3,FALSE)</f>
        <v>0</v>
      </c>
      <c r="AQ241" s="238">
        <f>W241*VLOOKUP($AA241,'SKOR PPH'!$B$13:$D$21,3,FALSE)</f>
        <v>0</v>
      </c>
      <c r="AR241" s="238">
        <f>X241*VLOOKUP($AA241,'SKOR PPH'!$B$13:$D$21,3,FALSE)</f>
        <v>0</v>
      </c>
      <c r="AS241" s="238">
        <f>Y241*VLOOKUP($AA241,'SKOR PPH'!$B$13:$D$21,3,FALSE)</f>
        <v>0</v>
      </c>
      <c r="AT241" s="238">
        <f>Z241*VLOOKUP($AA241,'SKOR PPH'!$B$13:$D$21,3,FALSE)</f>
        <v>0</v>
      </c>
      <c r="AU241" s="238">
        <f>$AF241*VLOOKUP($AA241,'SKOR PPH'!$B$13:$D$21,3,FALSE)</f>
        <v>0</v>
      </c>
    </row>
    <row r="242" spans="2:47" ht="15" customHeight="1" x14ac:dyDescent="0.2">
      <c r="B242" s="199" t="s">
        <v>285</v>
      </c>
      <c r="C242" s="212">
        <v>520</v>
      </c>
      <c r="D242" s="149">
        <v>0</v>
      </c>
      <c r="E242" s="243">
        <v>0</v>
      </c>
      <c r="F242" s="149">
        <v>0</v>
      </c>
      <c r="G242" s="261">
        <v>0</v>
      </c>
      <c r="H242" s="208" t="s">
        <v>389</v>
      </c>
      <c r="I242" s="311">
        <v>5.1674352190213214E-4</v>
      </c>
      <c r="J242" s="311">
        <v>1.0672988432199569E-2</v>
      </c>
      <c r="K242" s="311">
        <v>1.1189731954101702E-2</v>
      </c>
      <c r="L242" s="144">
        <f t="shared" si="314"/>
        <v>3.8386661627015532E-2</v>
      </c>
      <c r="M242" s="144">
        <f t="shared" si="315"/>
        <v>0</v>
      </c>
      <c r="N242" s="144">
        <f t="shared" si="316"/>
        <v>0</v>
      </c>
      <c r="O242" s="144">
        <f t="shared" si="317"/>
        <v>0</v>
      </c>
      <c r="P242" s="144">
        <f t="shared" si="318"/>
        <v>0</v>
      </c>
      <c r="Q242" s="144">
        <f t="shared" si="319"/>
        <v>0.79285056924911079</v>
      </c>
      <c r="R242" s="144">
        <f t="shared" si="320"/>
        <v>0</v>
      </c>
      <c r="S242" s="144">
        <f t="shared" si="321"/>
        <v>0</v>
      </c>
      <c r="T242" s="144">
        <f t="shared" si="322"/>
        <v>0</v>
      </c>
      <c r="U242" s="144">
        <f t="shared" si="323"/>
        <v>0</v>
      </c>
      <c r="V242" s="338">
        <f t="shared" si="324"/>
        <v>0.83123723087612633</v>
      </c>
      <c r="W242" s="338">
        <f t="shared" si="325"/>
        <v>0</v>
      </c>
      <c r="X242" s="338">
        <f t="shared" si="326"/>
        <v>0</v>
      </c>
      <c r="Y242" s="338">
        <f t="shared" si="327"/>
        <v>0</v>
      </c>
      <c r="Z242" s="338">
        <f t="shared" si="328"/>
        <v>0</v>
      </c>
      <c r="AA242" s="199">
        <v>9</v>
      </c>
      <c r="AB242" s="176">
        <v>27</v>
      </c>
      <c r="AC242" s="177">
        <v>1</v>
      </c>
      <c r="AD242" s="238">
        <f t="shared" si="329"/>
        <v>3.8386661627015532E-2</v>
      </c>
      <c r="AE242" s="238">
        <f t="shared" si="330"/>
        <v>0.79285056924911079</v>
      </c>
      <c r="AF242" s="238">
        <f t="shared" si="331"/>
        <v>0.83123723087612633</v>
      </c>
      <c r="AG242" s="256">
        <f>M242*VLOOKUP($AA242,'SKOR PPH'!$B$13:$D$21,3,FALSE)</f>
        <v>0</v>
      </c>
      <c r="AH242" s="238">
        <f>N242*VLOOKUP($AA242,'SKOR PPH'!$B$13:$D$21,3,FALSE)</f>
        <v>0</v>
      </c>
      <c r="AI242" s="238">
        <f>O242*VLOOKUP($AA242,'SKOR PPH'!$B$13:$D$21,3,FALSE)</f>
        <v>0</v>
      </c>
      <c r="AJ242" s="238">
        <f>P242*VLOOKUP($AA242,'SKOR PPH'!$B$13:$D$21,3,FALSE)</f>
        <v>0</v>
      </c>
      <c r="AK242" s="238">
        <f>$AD242*VLOOKUP($AA242,'SKOR PPH'!$B$13:$D$21,3,FALSE)</f>
        <v>4.6762631194030319E-2</v>
      </c>
      <c r="AL242" s="256">
        <f>R242*VLOOKUP($AA242,'SKOR PPH'!$B$13:$D$21,3,FALSE)</f>
        <v>0</v>
      </c>
      <c r="AM242" s="238">
        <f>S242*VLOOKUP($AA242,'SKOR PPH'!$B$13:$D$21,3,FALSE)</f>
        <v>0</v>
      </c>
      <c r="AN242" s="238">
        <f>T242*VLOOKUP($AA242,'SKOR PPH'!$B$13:$D$21,3,FALSE)</f>
        <v>0</v>
      </c>
      <c r="AO242" s="238">
        <f>U242*VLOOKUP($AA242,'SKOR PPH'!$B$13:$D$21,3,FALSE)</f>
        <v>0</v>
      </c>
      <c r="AP242" s="238">
        <f>$AE242*VLOOKUP($AA242,'SKOR PPH'!$B$13:$D$21,3,FALSE)</f>
        <v>0.96585056345926668</v>
      </c>
      <c r="AQ242" s="256">
        <f>W242*VLOOKUP($AA242,'SKOR PPH'!$B$13:$D$21,3,FALSE)</f>
        <v>0</v>
      </c>
      <c r="AR242" s="238">
        <f>X242*VLOOKUP($AA242,'SKOR PPH'!$B$13:$D$21,3,FALSE)</f>
        <v>0</v>
      </c>
      <c r="AS242" s="238">
        <f>Y242*VLOOKUP($AA242,'SKOR PPH'!$B$13:$D$21,3,FALSE)</f>
        <v>0</v>
      </c>
      <c r="AT242" s="238">
        <f>Z242*VLOOKUP($AA242,'SKOR PPH'!$B$13:$D$21,3,FALSE)</f>
        <v>0</v>
      </c>
      <c r="AU242" s="238">
        <f>$AF242*VLOOKUP($AA242,'SKOR PPH'!$B$13:$D$21,3,FALSE)</f>
        <v>1.012613194653297</v>
      </c>
    </row>
    <row r="243" spans="2:47" ht="15" customHeight="1" x14ac:dyDescent="0.2">
      <c r="B243" s="199" t="s">
        <v>286</v>
      </c>
      <c r="C243" s="212">
        <v>1000</v>
      </c>
      <c r="D243" s="149">
        <v>0</v>
      </c>
      <c r="E243" s="243">
        <v>0</v>
      </c>
      <c r="F243" s="149">
        <v>0</v>
      </c>
      <c r="G243" s="261">
        <v>0</v>
      </c>
      <c r="H243" s="208" t="s">
        <v>390</v>
      </c>
      <c r="I243" s="311">
        <v>3.5682508354239723E-2</v>
      </c>
      <c r="J243" s="311">
        <v>0.12251648957647394</v>
      </c>
      <c r="K243" s="311">
        <v>0.15819899793071363</v>
      </c>
      <c r="L243" s="144">
        <f t="shared" si="314"/>
        <v>5.0975011934628176</v>
      </c>
      <c r="M243" s="144">
        <f t="shared" si="315"/>
        <v>0</v>
      </c>
      <c r="N243" s="144">
        <f t="shared" si="316"/>
        <v>0</v>
      </c>
      <c r="O243" s="144">
        <f t="shared" si="317"/>
        <v>0</v>
      </c>
      <c r="P243" s="144">
        <f t="shared" si="318"/>
        <v>0</v>
      </c>
      <c r="Q243" s="144">
        <f t="shared" si="319"/>
        <v>17.502355653781994</v>
      </c>
      <c r="R243" s="144">
        <f t="shared" si="320"/>
        <v>0</v>
      </c>
      <c r="S243" s="144">
        <f t="shared" si="321"/>
        <v>0</v>
      </c>
      <c r="T243" s="144">
        <f t="shared" si="322"/>
        <v>0</v>
      </c>
      <c r="U243" s="144">
        <f t="shared" si="323"/>
        <v>0</v>
      </c>
      <c r="V243" s="338">
        <f t="shared" si="324"/>
        <v>22.599856847244805</v>
      </c>
      <c r="W243" s="338">
        <f t="shared" si="325"/>
        <v>0</v>
      </c>
      <c r="X243" s="338">
        <f t="shared" si="326"/>
        <v>0</v>
      </c>
      <c r="Y243" s="338">
        <f t="shared" si="327"/>
        <v>0</v>
      </c>
      <c r="Z243" s="338">
        <f t="shared" si="328"/>
        <v>0</v>
      </c>
      <c r="AA243" s="199">
        <v>9</v>
      </c>
      <c r="AB243" s="176">
        <v>27</v>
      </c>
      <c r="AC243" s="177">
        <v>0</v>
      </c>
      <c r="AD243" s="238">
        <f t="shared" si="329"/>
        <v>0</v>
      </c>
      <c r="AE243" s="238">
        <f t="shared" si="330"/>
        <v>0</v>
      </c>
      <c r="AF243" s="238">
        <f t="shared" si="331"/>
        <v>0</v>
      </c>
      <c r="AG243" s="256">
        <f>M243*VLOOKUP($AA243,'SKOR PPH'!$B$13:$D$21,3,FALSE)</f>
        <v>0</v>
      </c>
      <c r="AH243" s="238">
        <f>N243*VLOOKUP($AA243,'SKOR PPH'!$B$13:$D$21,3,FALSE)</f>
        <v>0</v>
      </c>
      <c r="AI243" s="238">
        <f>O243*VLOOKUP($AA243,'SKOR PPH'!$B$13:$D$21,3,FALSE)</f>
        <v>0</v>
      </c>
      <c r="AJ243" s="238">
        <f>P243*VLOOKUP($AA243,'SKOR PPH'!$B$13:$D$21,3,FALSE)</f>
        <v>0</v>
      </c>
      <c r="AK243" s="238">
        <f>$AD243*VLOOKUP($AA243,'SKOR PPH'!$B$13:$D$21,3,FALSE)</f>
        <v>0</v>
      </c>
      <c r="AL243" s="256">
        <f>R243*VLOOKUP($AA243,'SKOR PPH'!$B$13:$D$21,3,FALSE)</f>
        <v>0</v>
      </c>
      <c r="AM243" s="238">
        <f>S243*VLOOKUP($AA243,'SKOR PPH'!$B$13:$D$21,3,FALSE)</f>
        <v>0</v>
      </c>
      <c r="AN243" s="238">
        <f>T243*VLOOKUP($AA243,'SKOR PPH'!$B$13:$D$21,3,FALSE)</f>
        <v>0</v>
      </c>
      <c r="AO243" s="238">
        <f>U243*VLOOKUP($AA243,'SKOR PPH'!$B$13:$D$21,3,FALSE)</f>
        <v>0</v>
      </c>
      <c r="AP243" s="238">
        <f>$AE243*VLOOKUP($AA243,'SKOR PPH'!$B$13:$D$21,3,FALSE)</f>
        <v>0</v>
      </c>
      <c r="AQ243" s="256">
        <f>W243*VLOOKUP($AA243,'SKOR PPH'!$B$13:$D$21,3,FALSE)</f>
        <v>0</v>
      </c>
      <c r="AR243" s="238">
        <f>X243*VLOOKUP($AA243,'SKOR PPH'!$B$13:$D$21,3,FALSE)</f>
        <v>0</v>
      </c>
      <c r="AS243" s="238">
        <f>Y243*VLOOKUP($AA243,'SKOR PPH'!$B$13:$D$21,3,FALSE)</f>
        <v>0</v>
      </c>
      <c r="AT243" s="238">
        <f>Z243*VLOOKUP($AA243,'SKOR PPH'!$B$13:$D$21,3,FALSE)</f>
        <v>0</v>
      </c>
      <c r="AU243" s="238">
        <f>$AF243*VLOOKUP($AA243,'SKOR PPH'!$B$13:$D$21,3,FALSE)</f>
        <v>0</v>
      </c>
    </row>
    <row r="244" spans="2:47" ht="15" customHeight="1" x14ac:dyDescent="0.2">
      <c r="B244" s="199" t="s">
        <v>287</v>
      </c>
      <c r="C244" s="212">
        <f>200*1.04</f>
        <v>208</v>
      </c>
      <c r="D244" s="149">
        <v>61</v>
      </c>
      <c r="E244" s="243">
        <v>0</v>
      </c>
      <c r="F244" s="149">
        <v>0</v>
      </c>
      <c r="G244" s="261">
        <v>0</v>
      </c>
      <c r="H244" s="208" t="s">
        <v>130</v>
      </c>
      <c r="I244" s="311">
        <v>0</v>
      </c>
      <c r="J244" s="311">
        <v>0</v>
      </c>
      <c r="K244" s="311">
        <v>0</v>
      </c>
      <c r="L244" s="144">
        <f t="shared" si="314"/>
        <v>0</v>
      </c>
      <c r="M244" s="144">
        <f t="shared" si="315"/>
        <v>0</v>
      </c>
      <c r="N244" s="144">
        <f t="shared" si="316"/>
        <v>0</v>
      </c>
      <c r="O244" s="144">
        <f t="shared" si="317"/>
        <v>0</v>
      </c>
      <c r="P244" s="144">
        <f t="shared" si="318"/>
        <v>0</v>
      </c>
      <c r="Q244" s="144">
        <f t="shared" si="319"/>
        <v>0</v>
      </c>
      <c r="R244" s="144">
        <f t="shared" si="320"/>
        <v>0</v>
      </c>
      <c r="S244" s="144">
        <f t="shared" si="321"/>
        <v>0</v>
      </c>
      <c r="T244" s="144">
        <f t="shared" si="322"/>
        <v>0</v>
      </c>
      <c r="U244" s="144">
        <f t="shared" si="323"/>
        <v>0</v>
      </c>
      <c r="V244" s="338">
        <f t="shared" si="324"/>
        <v>0</v>
      </c>
      <c r="W244" s="338">
        <f t="shared" si="325"/>
        <v>0</v>
      </c>
      <c r="X244" s="338">
        <f t="shared" si="326"/>
        <v>0</v>
      </c>
      <c r="Y244" s="338">
        <f t="shared" si="327"/>
        <v>0</v>
      </c>
      <c r="Z244" s="338">
        <f t="shared" si="328"/>
        <v>0</v>
      </c>
      <c r="AA244" s="199">
        <v>9</v>
      </c>
      <c r="AB244" s="176">
        <v>27</v>
      </c>
      <c r="AC244" s="177">
        <v>1</v>
      </c>
      <c r="AD244" s="238">
        <f t="shared" si="329"/>
        <v>0</v>
      </c>
      <c r="AE244" s="238">
        <f t="shared" si="330"/>
        <v>0</v>
      </c>
      <c r="AF244" s="238">
        <f t="shared" si="331"/>
        <v>0</v>
      </c>
      <c r="AG244" s="256">
        <f>M244*VLOOKUP($AA244,'SKOR PPH'!$B$13:$D$21,3,FALSE)</f>
        <v>0</v>
      </c>
      <c r="AH244" s="238">
        <f>N244*VLOOKUP($AA244,'SKOR PPH'!$B$13:$D$21,3,FALSE)</f>
        <v>0</v>
      </c>
      <c r="AI244" s="238">
        <f>O244*VLOOKUP($AA244,'SKOR PPH'!$B$13:$D$21,3,FALSE)</f>
        <v>0</v>
      </c>
      <c r="AJ244" s="238">
        <f>P244*VLOOKUP($AA244,'SKOR PPH'!$B$13:$D$21,3,FALSE)</f>
        <v>0</v>
      </c>
      <c r="AK244" s="238">
        <f>$AD244*VLOOKUP($AA244,'SKOR PPH'!$B$13:$D$21,3,FALSE)</f>
        <v>0</v>
      </c>
      <c r="AL244" s="256">
        <f>R244*VLOOKUP($AA244,'SKOR PPH'!$B$13:$D$21,3,FALSE)</f>
        <v>0</v>
      </c>
      <c r="AM244" s="238">
        <f>S244*VLOOKUP($AA244,'SKOR PPH'!$B$13:$D$21,3,FALSE)</f>
        <v>0</v>
      </c>
      <c r="AN244" s="238">
        <f>T244*VLOOKUP($AA244,'SKOR PPH'!$B$13:$D$21,3,FALSE)</f>
        <v>0</v>
      </c>
      <c r="AO244" s="238">
        <f>U244*VLOOKUP($AA244,'SKOR PPH'!$B$13:$D$21,3,FALSE)</f>
        <v>0</v>
      </c>
      <c r="AP244" s="238">
        <f>$AE244*VLOOKUP($AA244,'SKOR PPH'!$B$13:$D$21,3,FALSE)</f>
        <v>0</v>
      </c>
      <c r="AQ244" s="256">
        <f>W244*VLOOKUP($AA244,'SKOR PPH'!$B$13:$D$21,3,FALSE)</f>
        <v>0</v>
      </c>
      <c r="AR244" s="238">
        <f>X244*VLOOKUP($AA244,'SKOR PPH'!$B$13:$D$21,3,FALSE)</f>
        <v>0</v>
      </c>
      <c r="AS244" s="238">
        <f>Y244*VLOOKUP($AA244,'SKOR PPH'!$B$13:$D$21,3,FALSE)</f>
        <v>0</v>
      </c>
      <c r="AT244" s="238">
        <f>Z244*VLOOKUP($AA244,'SKOR PPH'!$B$13:$D$21,3,FALSE)</f>
        <v>0</v>
      </c>
      <c r="AU244" s="238">
        <f>$AF244*VLOOKUP($AA244,'SKOR PPH'!$B$13:$D$21,3,FALSE)</f>
        <v>0</v>
      </c>
    </row>
    <row r="245" spans="2:47" ht="15" customHeight="1" x14ac:dyDescent="0.2">
      <c r="B245" s="199" t="s">
        <v>288</v>
      </c>
      <c r="C245" s="212">
        <v>208</v>
      </c>
      <c r="D245" s="149">
        <v>57.6</v>
      </c>
      <c r="E245" s="243">
        <v>0</v>
      </c>
      <c r="F245" s="149">
        <v>0</v>
      </c>
      <c r="G245" s="261">
        <v>16</v>
      </c>
      <c r="H245" s="208" t="s">
        <v>132</v>
      </c>
      <c r="I245" s="311">
        <v>0</v>
      </c>
      <c r="J245" s="311">
        <v>0</v>
      </c>
      <c r="K245" s="311">
        <v>0</v>
      </c>
      <c r="L245" s="144">
        <f t="shared" si="314"/>
        <v>0</v>
      </c>
      <c r="M245" s="144">
        <f t="shared" si="315"/>
        <v>0</v>
      </c>
      <c r="N245" s="144">
        <f t="shared" si="316"/>
        <v>0</v>
      </c>
      <c r="O245" s="144">
        <f t="shared" si="317"/>
        <v>0</v>
      </c>
      <c r="P245" s="144">
        <f t="shared" si="318"/>
        <v>0</v>
      </c>
      <c r="Q245" s="144">
        <f t="shared" si="319"/>
        <v>0</v>
      </c>
      <c r="R245" s="144">
        <f t="shared" si="320"/>
        <v>0</v>
      </c>
      <c r="S245" s="144">
        <f t="shared" si="321"/>
        <v>0</v>
      </c>
      <c r="T245" s="144">
        <f t="shared" si="322"/>
        <v>0</v>
      </c>
      <c r="U245" s="144">
        <f t="shared" si="323"/>
        <v>0</v>
      </c>
      <c r="V245" s="338">
        <f t="shared" si="324"/>
        <v>0</v>
      </c>
      <c r="W245" s="338">
        <f t="shared" si="325"/>
        <v>0</v>
      </c>
      <c r="X245" s="338">
        <f t="shared" si="326"/>
        <v>0</v>
      </c>
      <c r="Y245" s="338">
        <f t="shared" si="327"/>
        <v>0</v>
      </c>
      <c r="Z245" s="338">
        <f t="shared" si="328"/>
        <v>0</v>
      </c>
      <c r="AA245" s="199">
        <v>9</v>
      </c>
      <c r="AB245" s="176">
        <v>27</v>
      </c>
      <c r="AC245" s="177">
        <v>1</v>
      </c>
      <c r="AD245" s="238">
        <f t="shared" si="329"/>
        <v>0</v>
      </c>
      <c r="AE245" s="238">
        <f t="shared" si="330"/>
        <v>0</v>
      </c>
      <c r="AF245" s="238">
        <f t="shared" si="331"/>
        <v>0</v>
      </c>
      <c r="AG245" s="256">
        <f>M245*VLOOKUP($AA245,'SKOR PPH'!$B$13:$D$21,3,FALSE)</f>
        <v>0</v>
      </c>
      <c r="AH245" s="238">
        <f>N245*VLOOKUP($AA245,'SKOR PPH'!$B$13:$D$21,3,FALSE)</f>
        <v>0</v>
      </c>
      <c r="AI245" s="238">
        <f>O245*VLOOKUP($AA245,'SKOR PPH'!$B$13:$D$21,3,FALSE)</f>
        <v>0</v>
      </c>
      <c r="AJ245" s="238">
        <f>P245*VLOOKUP($AA245,'SKOR PPH'!$B$13:$D$21,3,FALSE)</f>
        <v>0</v>
      </c>
      <c r="AK245" s="238">
        <f>$AD245*VLOOKUP($AA245,'SKOR PPH'!$B$13:$D$21,3,FALSE)</f>
        <v>0</v>
      </c>
      <c r="AL245" s="256">
        <f>R245*VLOOKUP($AA245,'SKOR PPH'!$B$13:$D$21,3,FALSE)</f>
        <v>0</v>
      </c>
      <c r="AM245" s="238">
        <f>S245*VLOOKUP($AA245,'SKOR PPH'!$B$13:$D$21,3,FALSE)</f>
        <v>0</v>
      </c>
      <c r="AN245" s="238">
        <f>T245*VLOOKUP($AA245,'SKOR PPH'!$B$13:$D$21,3,FALSE)</f>
        <v>0</v>
      </c>
      <c r="AO245" s="238">
        <f>U245*VLOOKUP($AA245,'SKOR PPH'!$B$13:$D$21,3,FALSE)</f>
        <v>0</v>
      </c>
      <c r="AP245" s="238">
        <f>$AE245*VLOOKUP($AA245,'SKOR PPH'!$B$13:$D$21,3,FALSE)</f>
        <v>0</v>
      </c>
      <c r="AQ245" s="256">
        <f>W245*VLOOKUP($AA245,'SKOR PPH'!$B$13:$D$21,3,FALSE)</f>
        <v>0</v>
      </c>
      <c r="AR245" s="238">
        <f>X245*VLOOKUP($AA245,'SKOR PPH'!$B$13:$D$21,3,FALSE)</f>
        <v>0</v>
      </c>
      <c r="AS245" s="238">
        <f>Y245*VLOOKUP($AA245,'SKOR PPH'!$B$13:$D$21,3,FALSE)</f>
        <v>0</v>
      </c>
      <c r="AT245" s="238">
        <f>Z245*VLOOKUP($AA245,'SKOR PPH'!$B$13:$D$21,3,FALSE)</f>
        <v>0</v>
      </c>
      <c r="AU245" s="238">
        <f>$AF245*VLOOKUP($AA245,'SKOR PPH'!$B$13:$D$21,3,FALSE)</f>
        <v>0</v>
      </c>
    </row>
    <row r="246" spans="2:47" ht="15" customHeight="1" x14ac:dyDescent="0.2">
      <c r="B246" s="199" t="s">
        <v>289</v>
      </c>
      <c r="C246" s="212">
        <v>208</v>
      </c>
      <c r="D246" s="149">
        <v>48</v>
      </c>
      <c r="E246" s="243">
        <v>0</v>
      </c>
      <c r="F246" s="149">
        <v>0</v>
      </c>
      <c r="G246" s="261">
        <v>12.8</v>
      </c>
      <c r="H246" s="208" t="s">
        <v>131</v>
      </c>
      <c r="I246" s="311">
        <v>1.1141392692560637E-3</v>
      </c>
      <c r="J246" s="311">
        <v>2.1802520060658893E-3</v>
      </c>
      <c r="K246" s="311">
        <v>3.2943912753219525E-3</v>
      </c>
      <c r="L246" s="144">
        <f t="shared" si="314"/>
        <v>3.3105852572180176E-2</v>
      </c>
      <c r="M246" s="144">
        <f t="shared" si="315"/>
        <v>7.6398121320415801E-3</v>
      </c>
      <c r="N246" s="144">
        <f t="shared" si="316"/>
        <v>0</v>
      </c>
      <c r="O246" s="144">
        <f t="shared" si="317"/>
        <v>0</v>
      </c>
      <c r="P246" s="144">
        <f t="shared" si="318"/>
        <v>2.037283235211088E-3</v>
      </c>
      <c r="Q246" s="144">
        <f t="shared" si="319"/>
        <v>6.4784631037386423E-2</v>
      </c>
      <c r="R246" s="144">
        <f t="shared" si="320"/>
        <v>1.4950299470166097E-2</v>
      </c>
      <c r="S246" s="144">
        <f t="shared" si="321"/>
        <v>0</v>
      </c>
      <c r="T246" s="144">
        <f t="shared" si="322"/>
        <v>0</v>
      </c>
      <c r="U246" s="144">
        <f t="shared" si="323"/>
        <v>3.9867465253776262E-3</v>
      </c>
      <c r="V246" s="338">
        <f t="shared" si="324"/>
        <v>9.7890483609566578E-2</v>
      </c>
      <c r="W246" s="338">
        <f t="shared" si="325"/>
        <v>2.2590111602207672E-2</v>
      </c>
      <c r="X246" s="338">
        <f t="shared" si="326"/>
        <v>0</v>
      </c>
      <c r="Y246" s="338">
        <f t="shared" si="327"/>
        <v>0</v>
      </c>
      <c r="Z246" s="338">
        <f t="shared" si="328"/>
        <v>6.0240297605887129E-3</v>
      </c>
      <c r="AA246" s="199">
        <v>9</v>
      </c>
      <c r="AB246" s="176">
        <v>27</v>
      </c>
      <c r="AC246" s="177">
        <v>1</v>
      </c>
      <c r="AD246" s="238">
        <f t="shared" si="329"/>
        <v>3.3105852572180176E-2</v>
      </c>
      <c r="AE246" s="238">
        <f t="shared" si="330"/>
        <v>6.4784631037386423E-2</v>
      </c>
      <c r="AF246" s="238">
        <f t="shared" si="331"/>
        <v>9.7890483609566578E-2</v>
      </c>
      <c r="AG246" s="256">
        <f>M246*VLOOKUP($AA246,'SKOR PPH'!$B$13:$D$21,3,FALSE)</f>
        <v>9.3068191392530527E-3</v>
      </c>
      <c r="AH246" s="238">
        <f>N246*VLOOKUP($AA246,'SKOR PPH'!$B$13:$D$21,3,FALSE)</f>
        <v>0</v>
      </c>
      <c r="AI246" s="238">
        <f>O246*VLOOKUP($AA246,'SKOR PPH'!$B$13:$D$21,3,FALSE)</f>
        <v>0</v>
      </c>
      <c r="AJ246" s="238">
        <f>P246*VLOOKUP($AA246,'SKOR PPH'!$B$13:$D$21,3,FALSE)</f>
        <v>2.4818184371341472E-3</v>
      </c>
      <c r="AK246" s="238">
        <f>$AD246*VLOOKUP($AA246,'SKOR PPH'!$B$13:$D$21,3,FALSE)</f>
        <v>4.0329549603429889E-2</v>
      </c>
      <c r="AL246" s="256">
        <f>R246*VLOOKUP($AA246,'SKOR PPH'!$B$13:$D$21,3,FALSE)</f>
        <v>1.8212454814556338E-2</v>
      </c>
      <c r="AM246" s="238">
        <f>S246*VLOOKUP($AA246,'SKOR PPH'!$B$13:$D$21,3,FALSE)</f>
        <v>0</v>
      </c>
      <c r="AN246" s="238">
        <f>T246*VLOOKUP($AA246,'SKOR PPH'!$B$13:$D$21,3,FALSE)</f>
        <v>0</v>
      </c>
      <c r="AO246" s="238">
        <f>U246*VLOOKUP($AA246,'SKOR PPH'!$B$13:$D$21,3,FALSE)</f>
        <v>4.8566546172150241E-3</v>
      </c>
      <c r="AP246" s="238">
        <f>$AE246*VLOOKUP($AA246,'SKOR PPH'!$B$13:$D$21,3,FALSE)</f>
        <v>7.8920637529744139E-2</v>
      </c>
      <c r="AQ246" s="256">
        <f>W246*VLOOKUP($AA246,'SKOR PPH'!$B$13:$D$21,3,FALSE)</f>
        <v>2.7519273953809386E-2</v>
      </c>
      <c r="AR246" s="238">
        <f>X246*VLOOKUP($AA246,'SKOR PPH'!$B$13:$D$21,3,FALSE)</f>
        <v>0</v>
      </c>
      <c r="AS246" s="238">
        <f>Y246*VLOOKUP($AA246,'SKOR PPH'!$B$13:$D$21,3,FALSE)</f>
        <v>0</v>
      </c>
      <c r="AT246" s="238">
        <f>Z246*VLOOKUP($AA246,'SKOR PPH'!$B$13:$D$21,3,FALSE)</f>
        <v>7.33847305434917E-3</v>
      </c>
      <c r="AU246" s="238">
        <f>$AF246*VLOOKUP($AA246,'SKOR PPH'!$B$13:$D$21,3,FALSE)</f>
        <v>0.11925018713317401</v>
      </c>
    </row>
    <row r="247" spans="2:47" ht="15" customHeight="1" x14ac:dyDescent="0.2">
      <c r="B247" s="199" t="s">
        <v>290</v>
      </c>
      <c r="C247" s="212">
        <v>104</v>
      </c>
      <c r="D247" s="149">
        <v>80</v>
      </c>
      <c r="E247" s="243">
        <v>0</v>
      </c>
      <c r="F247" s="149">
        <v>0</v>
      </c>
      <c r="G247" s="261">
        <v>0</v>
      </c>
      <c r="H247" s="208" t="s">
        <v>132</v>
      </c>
      <c r="I247" s="311">
        <v>0</v>
      </c>
      <c r="J247" s="311">
        <v>0</v>
      </c>
      <c r="K247" s="311">
        <v>0</v>
      </c>
      <c r="L247" s="144">
        <f t="shared" si="314"/>
        <v>0</v>
      </c>
      <c r="M247" s="144">
        <f t="shared" si="315"/>
        <v>0</v>
      </c>
      <c r="N247" s="144">
        <f t="shared" si="316"/>
        <v>0</v>
      </c>
      <c r="O247" s="144">
        <f t="shared" si="317"/>
        <v>0</v>
      </c>
      <c r="P247" s="144">
        <f t="shared" si="318"/>
        <v>0</v>
      </c>
      <c r="Q247" s="144">
        <f t="shared" si="319"/>
        <v>0</v>
      </c>
      <c r="R247" s="144">
        <f t="shared" si="320"/>
        <v>0</v>
      </c>
      <c r="S247" s="144">
        <f t="shared" si="321"/>
        <v>0</v>
      </c>
      <c r="T247" s="144">
        <f t="shared" si="322"/>
        <v>0</v>
      </c>
      <c r="U247" s="144">
        <f t="shared" si="323"/>
        <v>0</v>
      </c>
      <c r="V247" s="338">
        <f t="shared" si="324"/>
        <v>0</v>
      </c>
      <c r="W247" s="338">
        <f t="shared" si="325"/>
        <v>0</v>
      </c>
      <c r="X247" s="338">
        <f t="shared" si="326"/>
        <v>0</v>
      </c>
      <c r="Y247" s="338">
        <f t="shared" si="327"/>
        <v>0</v>
      </c>
      <c r="Z247" s="338">
        <f t="shared" si="328"/>
        <v>0</v>
      </c>
      <c r="AA247" s="199">
        <v>9</v>
      </c>
      <c r="AB247" s="176">
        <v>27</v>
      </c>
      <c r="AC247" s="177">
        <v>1</v>
      </c>
      <c r="AD247" s="238">
        <f t="shared" si="329"/>
        <v>0</v>
      </c>
      <c r="AE247" s="238">
        <f t="shared" si="330"/>
        <v>0</v>
      </c>
      <c r="AF247" s="238">
        <f t="shared" si="331"/>
        <v>0</v>
      </c>
      <c r="AG247" s="256">
        <f>M247*VLOOKUP($AA247,'SKOR PPH'!$B$13:$D$21,3,FALSE)</f>
        <v>0</v>
      </c>
      <c r="AH247" s="238">
        <f>N247*VLOOKUP($AA247,'SKOR PPH'!$B$13:$D$21,3,FALSE)</f>
        <v>0</v>
      </c>
      <c r="AI247" s="238">
        <f>O247*VLOOKUP($AA247,'SKOR PPH'!$B$13:$D$21,3,FALSE)</f>
        <v>0</v>
      </c>
      <c r="AJ247" s="238">
        <f>P247*VLOOKUP($AA247,'SKOR PPH'!$B$13:$D$21,3,FALSE)</f>
        <v>0</v>
      </c>
      <c r="AK247" s="238">
        <f>$AD247*VLOOKUP($AA247,'SKOR PPH'!$B$13:$D$21,3,FALSE)</f>
        <v>0</v>
      </c>
      <c r="AL247" s="256">
        <f>R247*VLOOKUP($AA247,'SKOR PPH'!$B$13:$D$21,3,FALSE)</f>
        <v>0</v>
      </c>
      <c r="AM247" s="238">
        <f>S247*VLOOKUP($AA247,'SKOR PPH'!$B$13:$D$21,3,FALSE)</f>
        <v>0</v>
      </c>
      <c r="AN247" s="238">
        <f>T247*VLOOKUP($AA247,'SKOR PPH'!$B$13:$D$21,3,FALSE)</f>
        <v>0</v>
      </c>
      <c r="AO247" s="238">
        <f>U247*VLOOKUP($AA247,'SKOR PPH'!$B$13:$D$21,3,FALSE)</f>
        <v>0</v>
      </c>
      <c r="AP247" s="238">
        <f>$AE247*VLOOKUP($AA247,'SKOR PPH'!$B$13:$D$21,3,FALSE)</f>
        <v>0</v>
      </c>
      <c r="AQ247" s="256">
        <f>W247*VLOOKUP($AA247,'SKOR PPH'!$B$13:$D$21,3,FALSE)</f>
        <v>0</v>
      </c>
      <c r="AR247" s="238">
        <f>X247*VLOOKUP($AA247,'SKOR PPH'!$B$13:$D$21,3,FALSE)</f>
        <v>0</v>
      </c>
      <c r="AS247" s="238">
        <f>Y247*VLOOKUP($AA247,'SKOR PPH'!$B$13:$D$21,3,FALSE)</f>
        <v>0</v>
      </c>
      <c r="AT247" s="238">
        <f>Z247*VLOOKUP($AA247,'SKOR PPH'!$B$13:$D$21,3,FALSE)</f>
        <v>0</v>
      </c>
      <c r="AU247" s="238">
        <f>$AF247*VLOOKUP($AA247,'SKOR PPH'!$B$13:$D$21,3,FALSE)</f>
        <v>0</v>
      </c>
    </row>
    <row r="248" spans="2:47" ht="15" customHeight="1" x14ac:dyDescent="0.2">
      <c r="B248" s="199" t="s">
        <v>291</v>
      </c>
      <c r="C248" s="212">
        <f>200*1.04</f>
        <v>208</v>
      </c>
      <c r="D248" s="149">
        <v>61</v>
      </c>
      <c r="E248" s="243">
        <v>3.2</v>
      </c>
      <c r="F248" s="149">
        <v>3.5</v>
      </c>
      <c r="G248" s="261">
        <v>4.3</v>
      </c>
      <c r="H248" s="208" t="s">
        <v>133</v>
      </c>
      <c r="I248" s="311">
        <v>0</v>
      </c>
      <c r="J248" s="311">
        <v>0</v>
      </c>
      <c r="K248" s="311">
        <v>0</v>
      </c>
      <c r="L248" s="144">
        <f t="shared" si="314"/>
        <v>0</v>
      </c>
      <c r="M248" s="144">
        <f t="shared" si="315"/>
        <v>0</v>
      </c>
      <c r="N248" s="144">
        <f t="shared" si="316"/>
        <v>0</v>
      </c>
      <c r="O248" s="144">
        <f t="shared" si="317"/>
        <v>0</v>
      </c>
      <c r="P248" s="144">
        <f t="shared" si="318"/>
        <v>0</v>
      </c>
      <c r="Q248" s="144">
        <f t="shared" si="319"/>
        <v>0</v>
      </c>
      <c r="R248" s="144">
        <f t="shared" si="320"/>
        <v>0</v>
      </c>
      <c r="S248" s="144">
        <f t="shared" si="321"/>
        <v>0</v>
      </c>
      <c r="T248" s="144">
        <f t="shared" si="322"/>
        <v>0</v>
      </c>
      <c r="U248" s="144">
        <f t="shared" si="323"/>
        <v>0</v>
      </c>
      <c r="V248" s="338">
        <f t="shared" si="324"/>
        <v>0</v>
      </c>
      <c r="W248" s="338">
        <f t="shared" si="325"/>
        <v>0</v>
      </c>
      <c r="X248" s="338">
        <f t="shared" si="326"/>
        <v>0</v>
      </c>
      <c r="Y248" s="338">
        <f t="shared" si="327"/>
        <v>0</v>
      </c>
      <c r="Z248" s="338">
        <f t="shared" si="328"/>
        <v>0</v>
      </c>
      <c r="AA248" s="199">
        <v>9</v>
      </c>
      <c r="AB248" s="176">
        <v>27</v>
      </c>
      <c r="AC248" s="240">
        <v>1</v>
      </c>
      <c r="AD248" s="238">
        <f t="shared" si="329"/>
        <v>0</v>
      </c>
      <c r="AE248" s="238">
        <f t="shared" si="330"/>
        <v>0</v>
      </c>
      <c r="AF248" s="238">
        <f t="shared" si="331"/>
        <v>0</v>
      </c>
      <c r="AG248" s="256">
        <f>M248*VLOOKUP($AA248,'SKOR PPH'!$B$13:$D$21,3,FALSE)</f>
        <v>0</v>
      </c>
      <c r="AH248" s="238">
        <f>N248*VLOOKUP($AA248,'SKOR PPH'!$B$13:$D$21,3,FALSE)</f>
        <v>0</v>
      </c>
      <c r="AI248" s="238">
        <f>O248*VLOOKUP($AA248,'SKOR PPH'!$B$13:$D$21,3,FALSE)</f>
        <v>0</v>
      </c>
      <c r="AJ248" s="238">
        <f>P248*VLOOKUP($AA248,'SKOR PPH'!$B$13:$D$21,3,FALSE)</f>
        <v>0</v>
      </c>
      <c r="AK248" s="238">
        <f>$AD248*VLOOKUP($AA248,'SKOR PPH'!$B$13:$D$21,3,FALSE)</f>
        <v>0</v>
      </c>
      <c r="AL248" s="256">
        <f>R248*VLOOKUP($AA248,'SKOR PPH'!$B$13:$D$21,3,FALSE)</f>
        <v>0</v>
      </c>
      <c r="AM248" s="238">
        <f>S248*VLOOKUP($AA248,'SKOR PPH'!$B$13:$D$21,3,FALSE)</f>
        <v>0</v>
      </c>
      <c r="AN248" s="238">
        <f>T248*VLOOKUP($AA248,'SKOR PPH'!$B$13:$D$21,3,FALSE)</f>
        <v>0</v>
      </c>
      <c r="AO248" s="238">
        <f>U248*VLOOKUP($AA248,'SKOR PPH'!$B$13:$D$21,3,FALSE)</f>
        <v>0</v>
      </c>
      <c r="AP248" s="238">
        <f>$AE248*VLOOKUP($AA248,'SKOR PPH'!$B$13:$D$21,3,FALSE)</f>
        <v>0</v>
      </c>
      <c r="AQ248" s="256">
        <f>W248*VLOOKUP($AA248,'SKOR PPH'!$B$13:$D$21,3,FALSE)</f>
        <v>0</v>
      </c>
      <c r="AR248" s="238">
        <f>X248*VLOOKUP($AA248,'SKOR PPH'!$B$13:$D$21,3,FALSE)</f>
        <v>0</v>
      </c>
      <c r="AS248" s="238">
        <f>Y248*VLOOKUP($AA248,'SKOR PPH'!$B$13:$D$21,3,FALSE)</f>
        <v>0</v>
      </c>
      <c r="AT248" s="238">
        <f>Z248*VLOOKUP($AA248,'SKOR PPH'!$B$13:$D$21,3,FALSE)</f>
        <v>0</v>
      </c>
      <c r="AU248" s="238">
        <f>$AF248*VLOOKUP($AA248,'SKOR PPH'!$B$13:$D$21,3,FALSE)</f>
        <v>0</v>
      </c>
    </row>
    <row r="249" spans="2:47" ht="15" customHeight="1" x14ac:dyDescent="0.2">
      <c r="B249" s="199" t="s">
        <v>292</v>
      </c>
      <c r="C249" s="212">
        <v>50</v>
      </c>
      <c r="D249" s="149">
        <v>207</v>
      </c>
      <c r="E249" s="243">
        <v>4</v>
      </c>
      <c r="F249" s="149">
        <v>12.5</v>
      </c>
      <c r="G249" s="261">
        <v>20.6</v>
      </c>
      <c r="H249" s="208" t="s">
        <v>134</v>
      </c>
      <c r="I249" s="311">
        <v>0</v>
      </c>
      <c r="J249" s="311">
        <v>0</v>
      </c>
      <c r="K249" s="311">
        <v>0</v>
      </c>
      <c r="L249" s="144">
        <f t="shared" si="314"/>
        <v>0</v>
      </c>
      <c r="M249" s="144">
        <f t="shared" si="315"/>
        <v>0</v>
      </c>
      <c r="N249" s="144">
        <f t="shared" si="316"/>
        <v>0</v>
      </c>
      <c r="O249" s="144">
        <f t="shared" si="317"/>
        <v>0</v>
      </c>
      <c r="P249" s="144">
        <f t="shared" si="318"/>
        <v>0</v>
      </c>
      <c r="Q249" s="144">
        <f t="shared" si="319"/>
        <v>0</v>
      </c>
      <c r="R249" s="144">
        <f t="shared" si="320"/>
        <v>0</v>
      </c>
      <c r="S249" s="144">
        <f t="shared" si="321"/>
        <v>0</v>
      </c>
      <c r="T249" s="144">
        <f t="shared" si="322"/>
        <v>0</v>
      </c>
      <c r="U249" s="144">
        <f t="shared" si="323"/>
        <v>0</v>
      </c>
      <c r="V249" s="338">
        <f t="shared" si="324"/>
        <v>0</v>
      </c>
      <c r="W249" s="338">
        <f t="shared" si="325"/>
        <v>0</v>
      </c>
      <c r="X249" s="338">
        <f t="shared" si="326"/>
        <v>0</v>
      </c>
      <c r="Y249" s="338">
        <f t="shared" si="327"/>
        <v>0</v>
      </c>
      <c r="Z249" s="338">
        <f t="shared" si="328"/>
        <v>0</v>
      </c>
      <c r="AA249" s="199">
        <v>9</v>
      </c>
      <c r="AB249" s="176">
        <v>27</v>
      </c>
      <c r="AC249" s="177">
        <v>0.5</v>
      </c>
      <c r="AD249" s="238">
        <f t="shared" si="329"/>
        <v>0</v>
      </c>
      <c r="AE249" s="238">
        <f t="shared" si="330"/>
        <v>0</v>
      </c>
      <c r="AF249" s="238">
        <f t="shared" si="331"/>
        <v>0</v>
      </c>
      <c r="AG249" s="256">
        <f>M249*VLOOKUP($AA249,'SKOR PPH'!$B$13:$D$21,3,FALSE)</f>
        <v>0</v>
      </c>
      <c r="AH249" s="238">
        <f>N249*VLOOKUP($AA249,'SKOR PPH'!$B$13:$D$21,3,FALSE)</f>
        <v>0</v>
      </c>
      <c r="AI249" s="238">
        <f>O249*VLOOKUP($AA249,'SKOR PPH'!$B$13:$D$21,3,FALSE)</f>
        <v>0</v>
      </c>
      <c r="AJ249" s="238">
        <f>P249*VLOOKUP($AA249,'SKOR PPH'!$B$13:$D$21,3,FALSE)</f>
        <v>0</v>
      </c>
      <c r="AK249" s="238">
        <f>$AD249*VLOOKUP($AA249,'SKOR PPH'!$B$13:$D$21,3,FALSE)</f>
        <v>0</v>
      </c>
      <c r="AL249" s="256">
        <f>R249*VLOOKUP($AA249,'SKOR PPH'!$B$13:$D$21,3,FALSE)</f>
        <v>0</v>
      </c>
      <c r="AM249" s="238">
        <f>S249*VLOOKUP($AA249,'SKOR PPH'!$B$13:$D$21,3,FALSE)</f>
        <v>0</v>
      </c>
      <c r="AN249" s="238">
        <f>T249*VLOOKUP($AA249,'SKOR PPH'!$B$13:$D$21,3,FALSE)</f>
        <v>0</v>
      </c>
      <c r="AO249" s="238">
        <f>U249*VLOOKUP($AA249,'SKOR PPH'!$B$13:$D$21,3,FALSE)</f>
        <v>0</v>
      </c>
      <c r="AP249" s="238">
        <f>$AE249*VLOOKUP($AA249,'SKOR PPH'!$B$13:$D$21,3,FALSE)</f>
        <v>0</v>
      </c>
      <c r="AQ249" s="256">
        <f>W249*VLOOKUP($AA249,'SKOR PPH'!$B$13:$D$21,3,FALSE)</f>
        <v>0</v>
      </c>
      <c r="AR249" s="238">
        <f>X249*VLOOKUP($AA249,'SKOR PPH'!$B$13:$D$21,3,FALSE)</f>
        <v>0</v>
      </c>
      <c r="AS249" s="238">
        <f>Y249*VLOOKUP($AA249,'SKOR PPH'!$B$13:$D$21,3,FALSE)</f>
        <v>0</v>
      </c>
      <c r="AT249" s="238">
        <f>Z249*VLOOKUP($AA249,'SKOR PPH'!$B$13:$D$21,3,FALSE)</f>
        <v>0</v>
      </c>
      <c r="AU249" s="238">
        <f>$AF249*VLOOKUP($AA249,'SKOR PPH'!$B$13:$D$21,3,FALSE)</f>
        <v>0</v>
      </c>
    </row>
    <row r="250" spans="2:47" ht="15" customHeight="1" x14ac:dyDescent="0.2">
      <c r="B250" s="199" t="s">
        <v>293</v>
      </c>
      <c r="C250" s="216">
        <v>200</v>
      </c>
      <c r="D250" s="217">
        <v>56</v>
      </c>
      <c r="E250" s="251">
        <v>0</v>
      </c>
      <c r="F250" s="217">
        <v>0</v>
      </c>
      <c r="G250" s="263">
        <v>14.1</v>
      </c>
      <c r="H250" s="208" t="s">
        <v>127</v>
      </c>
      <c r="I250" s="311">
        <v>4.7837582690219656E-2</v>
      </c>
      <c r="J250" s="311">
        <v>0.5513373273798422</v>
      </c>
      <c r="K250" s="311">
        <v>0.59917491007006085</v>
      </c>
      <c r="L250" s="144">
        <f t="shared" si="314"/>
        <v>1.3667880768634186</v>
      </c>
      <c r="M250" s="144">
        <f t="shared" si="315"/>
        <v>0.38270066152175725</v>
      </c>
      <c r="N250" s="144">
        <f t="shared" si="316"/>
        <v>0</v>
      </c>
      <c r="O250" s="144">
        <f t="shared" si="317"/>
        <v>0</v>
      </c>
      <c r="P250" s="144">
        <f t="shared" si="318"/>
        <v>9.6358559418871018E-2</v>
      </c>
      <c r="Q250" s="144">
        <f t="shared" si="319"/>
        <v>15.752495067995492</v>
      </c>
      <c r="R250" s="144">
        <f t="shared" si="320"/>
        <v>4.4106986190387376</v>
      </c>
      <c r="S250" s="144">
        <f t="shared" si="321"/>
        <v>0</v>
      </c>
      <c r="T250" s="144">
        <f t="shared" si="322"/>
        <v>0</v>
      </c>
      <c r="U250" s="144">
        <f t="shared" si="323"/>
        <v>1.1105509022936821</v>
      </c>
      <c r="V250" s="338">
        <f t="shared" si="324"/>
        <v>17.11928314485888</v>
      </c>
      <c r="W250" s="338">
        <f t="shared" si="325"/>
        <v>4.7933992805604868</v>
      </c>
      <c r="X250" s="338">
        <f t="shared" si="326"/>
        <v>0</v>
      </c>
      <c r="Y250" s="338">
        <f t="shared" si="327"/>
        <v>0</v>
      </c>
      <c r="Z250" s="338">
        <f t="shared" si="328"/>
        <v>1.2069094617125511</v>
      </c>
      <c r="AA250" s="199">
        <v>9</v>
      </c>
      <c r="AB250" s="176">
        <v>27</v>
      </c>
      <c r="AC250" s="177">
        <v>1</v>
      </c>
      <c r="AD250" s="238">
        <f t="shared" si="329"/>
        <v>1.3667880768634186</v>
      </c>
      <c r="AE250" s="238">
        <f t="shared" si="330"/>
        <v>15.752495067995492</v>
      </c>
      <c r="AF250" s="238">
        <f t="shared" si="331"/>
        <v>17.11928314485888</v>
      </c>
      <c r="AG250" s="256">
        <f>M250*VLOOKUP($AA250,'SKOR PPH'!$B$13:$D$21,3,FALSE)</f>
        <v>0.46620594586580466</v>
      </c>
      <c r="AH250" s="238">
        <f>N250*VLOOKUP($AA250,'SKOR PPH'!$B$13:$D$21,3,FALSE)</f>
        <v>0</v>
      </c>
      <c r="AI250" s="238">
        <f>O250*VLOOKUP($AA250,'SKOR PPH'!$B$13:$D$21,3,FALSE)</f>
        <v>0</v>
      </c>
      <c r="AJ250" s="238">
        <f>P250*VLOOKUP($AA250,'SKOR PPH'!$B$13:$D$21,3,FALSE)</f>
        <v>0.11738399708406867</v>
      </c>
      <c r="AK250" s="238">
        <f>$AD250*VLOOKUP($AA250,'SKOR PPH'!$B$13:$D$21,3,FALSE)</f>
        <v>1.6650212352350164</v>
      </c>
      <c r="AL250" s="256">
        <f>R250*VLOOKUP($AA250,'SKOR PPH'!$B$13:$D$21,3,FALSE)</f>
        <v>5.37311305771299</v>
      </c>
      <c r="AM250" s="238">
        <f>S250*VLOOKUP($AA250,'SKOR PPH'!$B$13:$D$21,3,FALSE)</f>
        <v>0</v>
      </c>
      <c r="AN250" s="238">
        <f>T250*VLOOKUP($AA250,'SKOR PPH'!$B$13:$D$21,3,FALSE)</f>
        <v>0</v>
      </c>
      <c r="AO250" s="238">
        <f>U250*VLOOKUP($AA250,'SKOR PPH'!$B$13:$D$21,3,FALSE)</f>
        <v>1.3528731091741635</v>
      </c>
      <c r="AP250" s="238">
        <f>$AE250*VLOOKUP($AA250,'SKOR PPH'!$B$13:$D$21,3,FALSE)</f>
        <v>19.189689491832109</v>
      </c>
      <c r="AQ250" s="256">
        <f>W250*VLOOKUP($AA250,'SKOR PPH'!$B$13:$D$21,3,FALSE)</f>
        <v>5.839319003578785</v>
      </c>
      <c r="AR250" s="238">
        <f>X250*VLOOKUP($AA250,'SKOR PPH'!$B$13:$D$21,3,FALSE)</f>
        <v>0</v>
      </c>
      <c r="AS250" s="238">
        <f>Y250*VLOOKUP($AA250,'SKOR PPH'!$B$13:$D$21,3,FALSE)</f>
        <v>0</v>
      </c>
      <c r="AT250" s="238">
        <f>Z250*VLOOKUP($AA250,'SKOR PPH'!$B$13:$D$21,3,FALSE)</f>
        <v>1.4702571062582297</v>
      </c>
      <c r="AU250" s="238">
        <f>$AF250*VLOOKUP($AA250,'SKOR PPH'!$B$13:$D$21,3,FALSE)</f>
        <v>20.854710727067086</v>
      </c>
    </row>
    <row r="251" spans="2:47" ht="15" customHeight="1" x14ac:dyDescent="0.2">
      <c r="B251" s="211"/>
      <c r="C251" s="187"/>
      <c r="D251" s="188"/>
      <c r="E251" s="248"/>
      <c r="F251" s="188"/>
      <c r="G251" s="188"/>
      <c r="H251" s="267"/>
      <c r="I251" s="314"/>
      <c r="J251" s="314"/>
      <c r="K251" s="314"/>
      <c r="L251" s="127"/>
      <c r="M251" s="182"/>
      <c r="N251" s="127"/>
      <c r="O251" s="189"/>
      <c r="P251" s="189"/>
      <c r="Q251" s="127"/>
      <c r="R251" s="182"/>
      <c r="S251" s="127"/>
      <c r="T251" s="189"/>
      <c r="U251" s="189"/>
      <c r="V251" s="127"/>
      <c r="W251" s="182"/>
      <c r="X251" s="127"/>
      <c r="Y251" s="189"/>
      <c r="Z251" s="189"/>
      <c r="AA251" s="218"/>
      <c r="AB251" s="190"/>
      <c r="AC251" s="191"/>
      <c r="AD251" s="236"/>
      <c r="AE251" s="236"/>
      <c r="AF251" s="236"/>
      <c r="AG251" s="236"/>
      <c r="AH251" s="236"/>
      <c r="AI251" s="236"/>
      <c r="AJ251" s="236"/>
      <c r="AK251" s="236"/>
      <c r="AL251" s="236"/>
      <c r="AM251" s="236"/>
      <c r="AN251" s="236"/>
      <c r="AO251" s="236"/>
      <c r="AP251" s="236"/>
      <c r="AQ251" s="236"/>
      <c r="AR251" s="236"/>
      <c r="AS251" s="236"/>
      <c r="AT251" s="236"/>
      <c r="AU251" s="236"/>
    </row>
    <row r="252" spans="2:47" ht="15" customHeight="1" x14ac:dyDescent="0.2">
      <c r="B252" s="186" t="s">
        <v>135</v>
      </c>
      <c r="C252" s="187"/>
      <c r="D252" s="188"/>
      <c r="E252" s="248"/>
      <c r="F252" s="188"/>
      <c r="G252" s="188"/>
      <c r="H252" s="267"/>
      <c r="I252" s="314"/>
      <c r="J252" s="314"/>
      <c r="K252" s="314"/>
      <c r="L252" s="170"/>
      <c r="M252" s="170"/>
      <c r="N252" s="170"/>
      <c r="O252" s="171"/>
      <c r="P252" s="171"/>
      <c r="Q252" s="170"/>
      <c r="R252" s="170"/>
      <c r="S252" s="170"/>
      <c r="T252" s="171"/>
      <c r="U252" s="171"/>
      <c r="V252" s="170"/>
      <c r="W252" s="170"/>
      <c r="X252" s="170"/>
      <c r="Y252" s="171"/>
      <c r="Z252" s="171"/>
      <c r="AA252" s="218"/>
      <c r="AB252" s="190"/>
      <c r="AC252" s="191"/>
      <c r="AD252" s="236"/>
      <c r="AE252" s="236"/>
      <c r="AF252" s="236"/>
      <c r="AG252" s="236"/>
      <c r="AH252" s="236"/>
      <c r="AI252" s="236"/>
      <c r="AJ252" s="236"/>
      <c r="AK252" s="236"/>
      <c r="AL252" s="236"/>
      <c r="AM252" s="236"/>
      <c r="AN252" s="236"/>
      <c r="AO252" s="236"/>
      <c r="AP252" s="236"/>
      <c r="AQ252" s="236"/>
      <c r="AR252" s="236"/>
      <c r="AS252" s="236"/>
      <c r="AT252" s="236"/>
      <c r="AU252" s="236"/>
    </row>
    <row r="253" spans="2:47" ht="15" customHeight="1" x14ac:dyDescent="0.2">
      <c r="B253" s="199" t="s">
        <v>465</v>
      </c>
      <c r="C253" s="207">
        <v>644.79999999999995</v>
      </c>
      <c r="D253" s="149">
        <v>238.1</v>
      </c>
      <c r="E253" s="243">
        <v>2.98</v>
      </c>
      <c r="F253" s="149">
        <v>0</v>
      </c>
      <c r="G253" s="261">
        <v>21.82</v>
      </c>
      <c r="H253" s="208" t="s">
        <v>136</v>
      </c>
      <c r="I253" s="311">
        <v>0</v>
      </c>
      <c r="J253" s="311">
        <v>0</v>
      </c>
      <c r="K253" s="311">
        <v>0</v>
      </c>
      <c r="L253" s="144">
        <f t="shared" ref="L253:L255" si="332">$I253*C253/7</f>
        <v>0</v>
      </c>
      <c r="M253" s="144">
        <f t="shared" ref="M253:M255" si="333">$I253*D253/7</f>
        <v>0</v>
      </c>
      <c r="N253" s="144">
        <f t="shared" ref="N253:N255" si="334">$I253*E253/7</f>
        <v>0</v>
      </c>
      <c r="O253" s="144">
        <f t="shared" ref="O253:O255" si="335">$I253*F253/7</f>
        <v>0</v>
      </c>
      <c r="P253" s="144">
        <f t="shared" ref="P253:P255" si="336">$I253*G253/7</f>
        <v>0</v>
      </c>
      <c r="Q253" s="144">
        <f t="shared" ref="Q253:Q255" si="337">$J253*C253/7</f>
        <v>0</v>
      </c>
      <c r="R253" s="144">
        <f t="shared" ref="R253:R255" si="338">$J253*D253/7</f>
        <v>0</v>
      </c>
      <c r="S253" s="144">
        <f t="shared" ref="S253:S255" si="339">$J253*E253/7</f>
        <v>0</v>
      </c>
      <c r="T253" s="144">
        <f t="shared" ref="T253:T255" si="340">$J253*F253/7</f>
        <v>0</v>
      </c>
      <c r="U253" s="144">
        <f t="shared" ref="U253:U255" si="341">$J253*G253/7</f>
        <v>0</v>
      </c>
      <c r="V253" s="338">
        <f t="shared" ref="V253:V255" si="342">$K253*C253/7</f>
        <v>0</v>
      </c>
      <c r="W253" s="338">
        <f t="shared" ref="W253:W255" si="343">$K253*D253/7</f>
        <v>0</v>
      </c>
      <c r="X253" s="338">
        <f t="shared" ref="X253:X255" si="344">$K253*E253/7</f>
        <v>0</v>
      </c>
      <c r="Y253" s="338">
        <f t="shared" ref="Y253:Y255" si="345">$K253*F253/7</f>
        <v>0</v>
      </c>
      <c r="Z253" s="338">
        <f t="shared" ref="Z253:Z255" si="346">$K253*G253/7</f>
        <v>0</v>
      </c>
      <c r="AA253" s="199">
        <v>9</v>
      </c>
      <c r="AB253" s="176">
        <v>27</v>
      </c>
      <c r="AC253" s="177">
        <v>1</v>
      </c>
      <c r="AD253" s="238">
        <f t="shared" ref="AD253:AD255" si="347">$L253*$AC253</f>
        <v>0</v>
      </c>
      <c r="AE253" s="238">
        <f t="shared" ref="AE253:AE255" si="348">$Q253*$AC253</f>
        <v>0</v>
      </c>
      <c r="AF253" s="238">
        <f t="shared" ref="AF253:AF255" si="349">$V253*$AC253</f>
        <v>0</v>
      </c>
      <c r="AG253" s="256">
        <f>M253*VLOOKUP($AA253,'SKOR PPH'!$B$13:$D$21,3,FALSE)</f>
        <v>0</v>
      </c>
      <c r="AH253" s="238">
        <f>N253*VLOOKUP($AA253,'SKOR PPH'!$B$13:$D$21,3,FALSE)</f>
        <v>0</v>
      </c>
      <c r="AI253" s="238">
        <f>O253*VLOOKUP($AA253,'SKOR PPH'!$B$13:$D$21,3,FALSE)</f>
        <v>0</v>
      </c>
      <c r="AJ253" s="238">
        <f>P253*VLOOKUP($AA253,'SKOR PPH'!$B$13:$D$21,3,FALSE)</f>
        <v>0</v>
      </c>
      <c r="AK253" s="238">
        <f>$AD253*VLOOKUP($AA253,'SKOR PPH'!$B$13:$D$21,3,FALSE)</f>
        <v>0</v>
      </c>
      <c r="AL253" s="256">
        <f>R253*VLOOKUP($AA253,'SKOR PPH'!$B$13:$D$21,3,FALSE)</f>
        <v>0</v>
      </c>
      <c r="AM253" s="238">
        <f>S253*VLOOKUP($AA253,'SKOR PPH'!$B$13:$D$21,3,FALSE)</f>
        <v>0</v>
      </c>
      <c r="AN253" s="238">
        <f>T253*VLOOKUP($AA253,'SKOR PPH'!$B$13:$D$21,3,FALSE)</f>
        <v>0</v>
      </c>
      <c r="AO253" s="238">
        <f>U253*VLOOKUP($AA253,'SKOR PPH'!$B$13:$D$21,3,FALSE)</f>
        <v>0</v>
      </c>
      <c r="AP253" s="238">
        <f>$AE253*VLOOKUP($AA253,'SKOR PPH'!$B$13:$D$21,3,FALSE)</f>
        <v>0</v>
      </c>
      <c r="AQ253" s="256">
        <f>W253*VLOOKUP($AA253,'SKOR PPH'!$B$13:$D$21,3,FALSE)</f>
        <v>0</v>
      </c>
      <c r="AR253" s="238">
        <f>X253*VLOOKUP($AA253,'SKOR PPH'!$B$13:$D$21,3,FALSE)</f>
        <v>0</v>
      </c>
      <c r="AS253" s="238">
        <f>Y253*VLOOKUP($AA253,'SKOR PPH'!$B$13:$D$21,3,FALSE)</f>
        <v>0</v>
      </c>
      <c r="AT253" s="238">
        <f>Z253*VLOOKUP($AA253,'SKOR PPH'!$B$13:$D$21,3,FALSE)</f>
        <v>0</v>
      </c>
      <c r="AU253" s="238">
        <f>$AF253*VLOOKUP($AA253,'SKOR PPH'!$B$13:$D$21,3,FALSE)</f>
        <v>0</v>
      </c>
    </row>
    <row r="254" spans="2:47" ht="15" customHeight="1" x14ac:dyDescent="0.2">
      <c r="B254" s="199" t="s">
        <v>466</v>
      </c>
      <c r="C254" s="207">
        <v>644.79999999999995</v>
      </c>
      <c r="D254" s="149">
        <v>276.3</v>
      </c>
      <c r="E254" s="243">
        <v>3.45</v>
      </c>
      <c r="F254" s="149">
        <v>0</v>
      </c>
      <c r="G254" s="261">
        <v>25.3</v>
      </c>
      <c r="H254" s="208" t="s">
        <v>136</v>
      </c>
      <c r="I254" s="311">
        <v>0</v>
      </c>
      <c r="J254" s="311">
        <v>0</v>
      </c>
      <c r="K254" s="311">
        <v>0</v>
      </c>
      <c r="L254" s="144">
        <f t="shared" si="332"/>
        <v>0</v>
      </c>
      <c r="M254" s="144">
        <f t="shared" si="333"/>
        <v>0</v>
      </c>
      <c r="N254" s="144">
        <f t="shared" si="334"/>
        <v>0</v>
      </c>
      <c r="O254" s="144">
        <f t="shared" si="335"/>
        <v>0</v>
      </c>
      <c r="P254" s="144">
        <f t="shared" si="336"/>
        <v>0</v>
      </c>
      <c r="Q254" s="144">
        <f t="shared" si="337"/>
        <v>0</v>
      </c>
      <c r="R254" s="144">
        <f t="shared" si="338"/>
        <v>0</v>
      </c>
      <c r="S254" s="144">
        <f t="shared" si="339"/>
        <v>0</v>
      </c>
      <c r="T254" s="144">
        <f t="shared" si="340"/>
        <v>0</v>
      </c>
      <c r="U254" s="144">
        <f t="shared" si="341"/>
        <v>0</v>
      </c>
      <c r="V254" s="338">
        <f t="shared" si="342"/>
        <v>0</v>
      </c>
      <c r="W254" s="338">
        <f t="shared" si="343"/>
        <v>0</v>
      </c>
      <c r="X254" s="338">
        <f t="shared" si="344"/>
        <v>0</v>
      </c>
      <c r="Y254" s="338">
        <f t="shared" si="345"/>
        <v>0</v>
      </c>
      <c r="Z254" s="338">
        <f t="shared" si="346"/>
        <v>0</v>
      </c>
      <c r="AA254" s="176">
        <v>9</v>
      </c>
      <c r="AB254" s="176">
        <v>27</v>
      </c>
      <c r="AC254" s="177">
        <v>1</v>
      </c>
      <c r="AD254" s="238">
        <f t="shared" si="347"/>
        <v>0</v>
      </c>
      <c r="AE254" s="238">
        <f t="shared" si="348"/>
        <v>0</v>
      </c>
      <c r="AF254" s="238">
        <f t="shared" si="349"/>
        <v>0</v>
      </c>
      <c r="AG254" s="256">
        <f>M254*VLOOKUP($AA254,'SKOR PPH'!$B$13:$D$21,3,FALSE)</f>
        <v>0</v>
      </c>
      <c r="AH254" s="238">
        <f>N254*VLOOKUP($AA254,'SKOR PPH'!$B$13:$D$21,3,FALSE)</f>
        <v>0</v>
      </c>
      <c r="AI254" s="238">
        <f>O254*VLOOKUP($AA254,'SKOR PPH'!$B$13:$D$21,3,FALSE)</f>
        <v>0</v>
      </c>
      <c r="AJ254" s="238">
        <f>P254*VLOOKUP($AA254,'SKOR PPH'!$B$13:$D$21,3,FALSE)</f>
        <v>0</v>
      </c>
      <c r="AK254" s="238">
        <f>$AD254*VLOOKUP($AA254,'SKOR PPH'!$B$13:$D$21,3,FALSE)</f>
        <v>0</v>
      </c>
      <c r="AL254" s="256">
        <f>R254*VLOOKUP($AA254,'SKOR PPH'!$B$13:$D$21,3,FALSE)</f>
        <v>0</v>
      </c>
      <c r="AM254" s="238">
        <f>S254*VLOOKUP($AA254,'SKOR PPH'!$B$13:$D$21,3,FALSE)</f>
        <v>0</v>
      </c>
      <c r="AN254" s="238">
        <f>T254*VLOOKUP($AA254,'SKOR PPH'!$B$13:$D$21,3,FALSE)</f>
        <v>0</v>
      </c>
      <c r="AO254" s="238">
        <f>U254*VLOOKUP($AA254,'SKOR PPH'!$B$13:$D$21,3,FALSE)</f>
        <v>0</v>
      </c>
      <c r="AP254" s="238">
        <f>$AE254*VLOOKUP($AA254,'SKOR PPH'!$B$13:$D$21,3,FALSE)</f>
        <v>0</v>
      </c>
      <c r="AQ254" s="256">
        <f>W254*VLOOKUP($AA254,'SKOR PPH'!$B$13:$D$21,3,FALSE)</f>
        <v>0</v>
      </c>
      <c r="AR254" s="238">
        <f>X254*VLOOKUP($AA254,'SKOR PPH'!$B$13:$D$21,3,FALSE)</f>
        <v>0</v>
      </c>
      <c r="AS254" s="238">
        <f>Y254*VLOOKUP($AA254,'SKOR PPH'!$B$13:$D$21,3,FALSE)</f>
        <v>0</v>
      </c>
      <c r="AT254" s="238">
        <f>Z254*VLOOKUP($AA254,'SKOR PPH'!$B$13:$D$21,3,FALSE)</f>
        <v>0</v>
      </c>
      <c r="AU254" s="238">
        <f>$AF254*VLOOKUP($AA254,'SKOR PPH'!$B$13:$D$21,3,FALSE)</f>
        <v>0</v>
      </c>
    </row>
    <row r="255" spans="2:47" ht="15" customHeight="1" x14ac:dyDescent="0.2">
      <c r="B255" s="199" t="s">
        <v>467</v>
      </c>
      <c r="C255" s="207">
        <v>644.79999999999995</v>
      </c>
      <c r="D255" s="217">
        <v>0</v>
      </c>
      <c r="E255" s="251">
        <v>0</v>
      </c>
      <c r="F255" s="217">
        <v>0</v>
      </c>
      <c r="G255" s="263">
        <v>0</v>
      </c>
      <c r="H255" s="208" t="s">
        <v>136</v>
      </c>
      <c r="I255" s="311">
        <v>4.206535440508672E-2</v>
      </c>
      <c r="J255" s="311">
        <v>0.54100545338564321</v>
      </c>
      <c r="K255" s="311">
        <v>0.58307080779072951</v>
      </c>
      <c r="L255" s="144">
        <f t="shared" si="332"/>
        <v>3.8748200743428454</v>
      </c>
      <c r="M255" s="144">
        <f t="shared" si="333"/>
        <v>0</v>
      </c>
      <c r="N255" s="144">
        <f t="shared" si="334"/>
        <v>0</v>
      </c>
      <c r="O255" s="144">
        <f t="shared" si="335"/>
        <v>0</v>
      </c>
      <c r="P255" s="144">
        <f t="shared" si="336"/>
        <v>0</v>
      </c>
      <c r="Q255" s="144">
        <f t="shared" si="337"/>
        <v>49.83433090615182</v>
      </c>
      <c r="R255" s="144">
        <f t="shared" si="338"/>
        <v>0</v>
      </c>
      <c r="S255" s="144">
        <f t="shared" si="339"/>
        <v>0</v>
      </c>
      <c r="T255" s="144">
        <f t="shared" si="340"/>
        <v>0</v>
      </c>
      <c r="U255" s="144">
        <f t="shared" si="341"/>
        <v>0</v>
      </c>
      <c r="V255" s="338">
        <f t="shared" si="342"/>
        <v>53.70915098049462</v>
      </c>
      <c r="W255" s="338">
        <f t="shared" si="343"/>
        <v>0</v>
      </c>
      <c r="X255" s="338">
        <f t="shared" si="344"/>
        <v>0</v>
      </c>
      <c r="Y255" s="338">
        <f t="shared" si="345"/>
        <v>0</v>
      </c>
      <c r="Z255" s="338">
        <f t="shared" si="346"/>
        <v>0</v>
      </c>
      <c r="AA255" s="176">
        <v>9</v>
      </c>
      <c r="AB255" s="176">
        <v>27</v>
      </c>
      <c r="AC255" s="177">
        <v>1</v>
      </c>
      <c r="AD255" s="238">
        <f t="shared" si="347"/>
        <v>3.8748200743428454</v>
      </c>
      <c r="AE255" s="238">
        <f t="shared" si="348"/>
        <v>49.83433090615182</v>
      </c>
      <c r="AF255" s="238">
        <f t="shared" si="349"/>
        <v>53.70915098049462</v>
      </c>
      <c r="AG255" s="256">
        <f>M255*VLOOKUP($AA255,'SKOR PPH'!$B$13:$D$21,3,FALSE)</f>
        <v>0</v>
      </c>
      <c r="AH255" s="238">
        <f>N255*VLOOKUP($AA255,'SKOR PPH'!$B$13:$D$21,3,FALSE)</f>
        <v>0</v>
      </c>
      <c r="AI255" s="238">
        <f>O255*VLOOKUP($AA255,'SKOR PPH'!$B$13:$D$21,3,FALSE)</f>
        <v>0</v>
      </c>
      <c r="AJ255" s="238">
        <f>P255*VLOOKUP($AA255,'SKOR PPH'!$B$13:$D$21,3,FALSE)</f>
        <v>0</v>
      </c>
      <c r="AK255" s="238">
        <f>$AD255*VLOOKUP($AA255,'SKOR PPH'!$B$13:$D$21,3,FALSE)</f>
        <v>4.7203058145644539</v>
      </c>
      <c r="AL255" s="256">
        <f>R255*VLOOKUP($AA255,'SKOR PPH'!$B$13:$D$21,3,FALSE)</f>
        <v>0</v>
      </c>
      <c r="AM255" s="238">
        <f>S255*VLOOKUP($AA255,'SKOR PPH'!$B$13:$D$21,3,FALSE)</f>
        <v>0</v>
      </c>
      <c r="AN255" s="238">
        <f>T255*VLOOKUP($AA255,'SKOR PPH'!$B$13:$D$21,3,FALSE)</f>
        <v>0</v>
      </c>
      <c r="AO255" s="238">
        <f>U255*VLOOKUP($AA255,'SKOR PPH'!$B$13:$D$21,3,FALSE)</f>
        <v>0</v>
      </c>
      <c r="AP255" s="238">
        <f>$AE255*VLOOKUP($AA255,'SKOR PPH'!$B$13:$D$21,3,FALSE)</f>
        <v>60.708181909874142</v>
      </c>
      <c r="AQ255" s="256">
        <f>W255*VLOOKUP($AA255,'SKOR PPH'!$B$13:$D$21,3,FALSE)</f>
        <v>0</v>
      </c>
      <c r="AR255" s="238">
        <f>X255*VLOOKUP($AA255,'SKOR PPH'!$B$13:$D$21,3,FALSE)</f>
        <v>0</v>
      </c>
      <c r="AS255" s="238">
        <f>Y255*VLOOKUP($AA255,'SKOR PPH'!$B$13:$D$21,3,FALSE)</f>
        <v>0</v>
      </c>
      <c r="AT255" s="238">
        <f>Z255*VLOOKUP($AA255,'SKOR PPH'!$B$13:$D$21,3,FALSE)</f>
        <v>0</v>
      </c>
      <c r="AU255" s="238">
        <f>$AF255*VLOOKUP($AA255,'SKOR PPH'!$B$13:$D$21,3,FALSE)</f>
        <v>65.42848772443854</v>
      </c>
    </row>
    <row r="256" spans="2:47" ht="15" customHeight="1" x14ac:dyDescent="0.2">
      <c r="K256" s="16" t="s">
        <v>472</v>
      </c>
      <c r="AD256" s="219"/>
      <c r="AE256" s="219"/>
      <c r="AF256" s="219"/>
      <c r="AG256" s="219"/>
      <c r="AH256" s="219"/>
      <c r="AI256" s="219"/>
      <c r="AJ256" s="219"/>
      <c r="AK256" s="219"/>
      <c r="AL256" s="219"/>
      <c r="AM256" s="219"/>
      <c r="AN256" s="219"/>
      <c r="AO256" s="219"/>
      <c r="AP256" s="219"/>
      <c r="AQ256" s="219"/>
      <c r="AR256" s="219"/>
      <c r="AS256" s="219"/>
      <c r="AT256" s="219"/>
      <c r="AU256" s="219"/>
    </row>
    <row r="257" spans="11:47" ht="15" customHeight="1" x14ac:dyDescent="0.2">
      <c r="K257" s="16">
        <v>0.73708690928329623</v>
      </c>
      <c r="AD257" s="219"/>
      <c r="AE257" s="219"/>
      <c r="AF257" s="219"/>
      <c r="AG257" s="219"/>
      <c r="AH257" s="219"/>
      <c r="AI257" s="219"/>
      <c r="AJ257" s="219"/>
      <c r="AK257" s="219"/>
      <c r="AL257" s="219"/>
      <c r="AM257" s="219"/>
      <c r="AN257" s="219"/>
      <c r="AO257" s="219"/>
      <c r="AP257" s="219"/>
      <c r="AQ257" s="219"/>
      <c r="AR257" s="219"/>
      <c r="AS257" s="219"/>
      <c r="AT257" s="219"/>
      <c r="AU257" s="219"/>
    </row>
    <row r="258" spans="11:47" ht="15" customHeight="1" x14ac:dyDescent="0.2">
      <c r="K258" s="16">
        <v>0.84339973367886467</v>
      </c>
      <c r="M258" s="220"/>
      <c r="R258" s="220"/>
      <c r="W258" s="220"/>
      <c r="AD258" s="219"/>
      <c r="AE258" s="219"/>
      <c r="AF258" s="219"/>
      <c r="AG258" s="219"/>
      <c r="AH258" s="219"/>
      <c r="AI258" s="219"/>
      <c r="AJ258" s="219"/>
      <c r="AK258" s="219"/>
      <c r="AL258" s="219"/>
      <c r="AM258" s="219"/>
      <c r="AN258" s="219"/>
      <c r="AO258" s="219"/>
      <c r="AP258" s="219"/>
      <c r="AQ258" s="219"/>
      <c r="AR258" s="219"/>
      <c r="AS258" s="219"/>
      <c r="AT258" s="219"/>
      <c r="AU258" s="219"/>
    </row>
    <row r="259" spans="11:47" ht="15" customHeight="1" x14ac:dyDescent="0.2">
      <c r="K259" s="16">
        <v>0.36243738237967532</v>
      </c>
      <c r="AD259" s="219"/>
      <c r="AE259" s="219"/>
      <c r="AF259" s="219"/>
      <c r="AG259" s="219"/>
      <c r="AH259" s="219"/>
      <c r="AI259" s="219"/>
      <c r="AJ259" s="219"/>
      <c r="AK259" s="219"/>
      <c r="AL259" s="219"/>
      <c r="AM259" s="219"/>
      <c r="AN259" s="219"/>
      <c r="AO259" s="219"/>
      <c r="AP259" s="219"/>
      <c r="AQ259" s="219"/>
      <c r="AR259" s="219"/>
      <c r="AS259" s="219"/>
      <c r="AT259" s="219"/>
      <c r="AU259" s="219"/>
    </row>
    <row r="260" spans="11:47" ht="15" customHeight="1" x14ac:dyDescent="0.2">
      <c r="K260" s="16">
        <v>0.2352842141891438</v>
      </c>
      <c r="L260" s="221"/>
      <c r="Q260" s="221"/>
      <c r="V260" s="221"/>
      <c r="AD260" s="219"/>
      <c r="AE260" s="219"/>
      <c r="AF260" s="219"/>
      <c r="AG260" s="219"/>
      <c r="AH260" s="219"/>
      <c r="AI260" s="219"/>
      <c r="AJ260" s="219"/>
      <c r="AK260" s="219"/>
      <c r="AL260" s="219"/>
      <c r="AM260" s="219"/>
      <c r="AN260" s="219"/>
      <c r="AO260" s="219"/>
      <c r="AP260" s="219"/>
      <c r="AQ260" s="219"/>
      <c r="AR260" s="219"/>
      <c r="AS260" s="219"/>
      <c r="AT260" s="219"/>
      <c r="AU260" s="219"/>
    </row>
    <row r="261" spans="11:47" ht="15" customHeight="1" x14ac:dyDescent="0.2">
      <c r="K261" s="16">
        <v>9.2977577563262571E-3</v>
      </c>
      <c r="AD261" s="219"/>
      <c r="AE261" s="219"/>
      <c r="AF261" s="219"/>
      <c r="AG261" s="219"/>
      <c r="AH261" s="219"/>
      <c r="AI261" s="219"/>
      <c r="AJ261" s="219"/>
      <c r="AK261" s="219"/>
      <c r="AL261" s="219"/>
      <c r="AM261" s="219"/>
      <c r="AN261" s="219"/>
      <c r="AO261" s="219"/>
      <c r="AP261" s="219"/>
      <c r="AQ261" s="219"/>
      <c r="AR261" s="219"/>
      <c r="AS261" s="219"/>
      <c r="AT261" s="219"/>
      <c r="AU261" s="219"/>
    </row>
    <row r="262" spans="11:47" ht="15" customHeight="1" x14ac:dyDescent="0.2">
      <c r="K262" s="16">
        <v>3.2466475784637187E-4</v>
      </c>
      <c r="AD262" s="219"/>
      <c r="AE262" s="219"/>
      <c r="AF262" s="219"/>
      <c r="AG262" s="219"/>
      <c r="AH262" s="219"/>
      <c r="AI262" s="219"/>
      <c r="AJ262" s="219"/>
      <c r="AK262" s="219"/>
      <c r="AL262" s="219"/>
      <c r="AM262" s="219"/>
      <c r="AN262" s="219"/>
      <c r="AO262" s="219"/>
      <c r="AP262" s="219"/>
      <c r="AQ262" s="219"/>
      <c r="AR262" s="219"/>
      <c r="AS262" s="219"/>
      <c r="AT262" s="219"/>
      <c r="AU262" s="219"/>
    </row>
    <row r="263" spans="11:47" ht="15" customHeight="1" x14ac:dyDescent="0.2">
      <c r="K263" s="16">
        <v>5.2172438432699936E-3</v>
      </c>
      <c r="AD263" s="219"/>
      <c r="AE263" s="219"/>
      <c r="AF263" s="219"/>
      <c r="AG263" s="219"/>
      <c r="AH263" s="219"/>
      <c r="AI263" s="219"/>
      <c r="AJ263" s="219"/>
      <c r="AK263" s="219"/>
      <c r="AL263" s="219"/>
      <c r="AM263" s="219"/>
      <c r="AN263" s="219"/>
      <c r="AO263" s="219"/>
      <c r="AP263" s="219"/>
      <c r="AQ263" s="219"/>
      <c r="AR263" s="219"/>
      <c r="AS263" s="219"/>
      <c r="AT263" s="219"/>
      <c r="AU263" s="219"/>
    </row>
    <row r="264" spans="11:47" ht="15" customHeight="1" x14ac:dyDescent="0.2">
      <c r="AD264" s="219"/>
      <c r="AE264" s="219"/>
      <c r="AF264" s="219"/>
      <c r="AG264" s="219"/>
      <c r="AH264" s="219"/>
      <c r="AI264" s="219"/>
      <c r="AJ264" s="219"/>
      <c r="AK264" s="219"/>
      <c r="AL264" s="219"/>
      <c r="AM264" s="219"/>
      <c r="AN264" s="219"/>
      <c r="AO264" s="219"/>
      <c r="AP264" s="219"/>
      <c r="AQ264" s="219"/>
      <c r="AR264" s="219"/>
      <c r="AS264" s="219"/>
      <c r="AT264" s="219"/>
      <c r="AU264" s="219"/>
    </row>
    <row r="265" spans="11:47" ht="15" customHeight="1" x14ac:dyDescent="0.2">
      <c r="AD265" s="219"/>
      <c r="AE265" s="219"/>
      <c r="AF265" s="219"/>
      <c r="AG265" s="219"/>
      <c r="AH265" s="219"/>
      <c r="AI265" s="219"/>
      <c r="AJ265" s="219"/>
      <c r="AK265" s="219"/>
      <c r="AL265" s="219"/>
      <c r="AM265" s="219"/>
      <c r="AN265" s="219"/>
      <c r="AO265" s="219"/>
      <c r="AP265" s="219"/>
      <c r="AQ265" s="219"/>
      <c r="AR265" s="219"/>
      <c r="AS265" s="219"/>
      <c r="AT265" s="219"/>
      <c r="AU265" s="219"/>
    </row>
    <row r="266" spans="11:47" ht="15" customHeight="1" x14ac:dyDescent="0.2">
      <c r="AD266" s="219"/>
      <c r="AE266" s="219"/>
      <c r="AF266" s="219"/>
      <c r="AG266" s="219"/>
      <c r="AH266" s="219"/>
      <c r="AI266" s="219"/>
      <c r="AJ266" s="219"/>
      <c r="AK266" s="219"/>
      <c r="AL266" s="219"/>
      <c r="AM266" s="219"/>
      <c r="AN266" s="219"/>
      <c r="AO266" s="219"/>
      <c r="AP266" s="219"/>
      <c r="AQ266" s="219"/>
      <c r="AR266" s="219"/>
      <c r="AS266" s="219"/>
      <c r="AT266" s="219"/>
      <c r="AU266" s="219"/>
    </row>
    <row r="267" spans="11:47" ht="15" customHeight="1" x14ac:dyDescent="0.2">
      <c r="AD267" s="219"/>
      <c r="AE267" s="219"/>
      <c r="AF267" s="219"/>
      <c r="AG267" s="219"/>
      <c r="AH267" s="219"/>
      <c r="AI267" s="219"/>
      <c r="AJ267" s="219"/>
      <c r="AK267" s="219"/>
      <c r="AL267" s="219"/>
      <c r="AM267" s="219"/>
      <c r="AN267" s="219"/>
      <c r="AO267" s="219"/>
      <c r="AP267" s="219"/>
      <c r="AQ267" s="219"/>
      <c r="AR267" s="219"/>
      <c r="AS267" s="219"/>
      <c r="AT267" s="219"/>
      <c r="AU267" s="219"/>
    </row>
    <row r="268" spans="11:47" ht="15" customHeight="1" x14ac:dyDescent="0.2">
      <c r="AD268" s="219"/>
      <c r="AE268" s="219"/>
      <c r="AF268" s="219"/>
      <c r="AG268" s="219"/>
      <c r="AH268" s="219"/>
      <c r="AI268" s="219"/>
      <c r="AJ268" s="219"/>
      <c r="AK268" s="219"/>
      <c r="AL268" s="219"/>
      <c r="AM268" s="219"/>
      <c r="AN268" s="219"/>
      <c r="AO268" s="219"/>
      <c r="AP268" s="219"/>
      <c r="AQ268" s="219"/>
      <c r="AR268" s="219"/>
      <c r="AS268" s="219"/>
      <c r="AT268" s="219"/>
      <c r="AU268" s="219"/>
    </row>
    <row r="269" spans="11:47" ht="15" customHeight="1" x14ac:dyDescent="0.2">
      <c r="AD269" s="219"/>
      <c r="AE269" s="219"/>
      <c r="AF269" s="219"/>
      <c r="AG269" s="219"/>
      <c r="AH269" s="219"/>
      <c r="AI269" s="219"/>
      <c r="AJ269" s="219"/>
      <c r="AK269" s="219"/>
      <c r="AL269" s="219"/>
      <c r="AM269" s="219"/>
      <c r="AN269" s="219"/>
      <c r="AO269" s="219"/>
      <c r="AP269" s="219"/>
      <c r="AQ269" s="219"/>
      <c r="AR269" s="219"/>
      <c r="AS269" s="219"/>
      <c r="AT269" s="219"/>
      <c r="AU269" s="219"/>
    </row>
    <row r="270" spans="11:47" ht="15" customHeight="1" x14ac:dyDescent="0.2">
      <c r="AD270" s="219"/>
      <c r="AE270" s="219"/>
      <c r="AF270" s="219"/>
      <c r="AG270" s="219"/>
      <c r="AH270" s="219"/>
      <c r="AI270" s="219"/>
      <c r="AJ270" s="219"/>
      <c r="AK270" s="219"/>
      <c r="AL270" s="219"/>
      <c r="AM270" s="219"/>
      <c r="AN270" s="219"/>
      <c r="AO270" s="219"/>
      <c r="AP270" s="219"/>
      <c r="AQ270" s="219"/>
      <c r="AR270" s="219"/>
      <c r="AS270" s="219"/>
      <c r="AT270" s="219"/>
      <c r="AU270" s="219"/>
    </row>
    <row r="271" spans="11:47" ht="15" customHeight="1" x14ac:dyDescent="0.2">
      <c r="AD271" s="219"/>
      <c r="AE271" s="219"/>
      <c r="AF271" s="219"/>
      <c r="AG271" s="219"/>
      <c r="AH271" s="219"/>
      <c r="AI271" s="219"/>
      <c r="AJ271" s="219"/>
      <c r="AK271" s="219"/>
      <c r="AL271" s="219"/>
      <c r="AM271" s="219"/>
      <c r="AN271" s="219"/>
      <c r="AO271" s="219"/>
      <c r="AP271" s="219"/>
      <c r="AQ271" s="219"/>
      <c r="AR271" s="219"/>
      <c r="AS271" s="219"/>
      <c r="AT271" s="219"/>
      <c r="AU271" s="219"/>
    </row>
    <row r="272" spans="11:47" ht="15" customHeight="1" x14ac:dyDescent="0.2">
      <c r="AD272" s="219"/>
      <c r="AE272" s="219"/>
      <c r="AF272" s="219"/>
      <c r="AG272" s="219"/>
      <c r="AH272" s="219"/>
      <c r="AI272" s="219"/>
      <c r="AJ272" s="219"/>
      <c r="AK272" s="219"/>
      <c r="AL272" s="219"/>
      <c r="AM272" s="219"/>
      <c r="AN272" s="219"/>
      <c r="AO272" s="219"/>
      <c r="AP272" s="219"/>
      <c r="AQ272" s="219"/>
      <c r="AR272" s="219"/>
      <c r="AS272" s="219"/>
      <c r="AT272" s="219"/>
      <c r="AU272" s="219"/>
    </row>
    <row r="273" spans="30:47" ht="15" customHeight="1" x14ac:dyDescent="0.2">
      <c r="AD273" s="219"/>
      <c r="AE273" s="219"/>
      <c r="AF273" s="219"/>
      <c r="AG273" s="219"/>
      <c r="AH273" s="219"/>
      <c r="AI273" s="219"/>
      <c r="AJ273" s="219"/>
      <c r="AK273" s="219"/>
      <c r="AL273" s="219"/>
      <c r="AM273" s="219"/>
      <c r="AN273" s="219"/>
      <c r="AO273" s="219"/>
      <c r="AP273" s="219"/>
      <c r="AQ273" s="219"/>
      <c r="AR273" s="219"/>
      <c r="AS273" s="219"/>
      <c r="AT273" s="219"/>
      <c r="AU273" s="219"/>
    </row>
    <row r="274" spans="30:47" ht="15" customHeight="1" x14ac:dyDescent="0.2">
      <c r="AD274" s="219"/>
      <c r="AE274" s="219"/>
      <c r="AF274" s="219"/>
      <c r="AG274" s="219"/>
      <c r="AH274" s="219"/>
      <c r="AI274" s="219"/>
      <c r="AJ274" s="219"/>
      <c r="AK274" s="219"/>
      <c r="AL274" s="219"/>
      <c r="AM274" s="219"/>
      <c r="AN274" s="219"/>
      <c r="AO274" s="219"/>
      <c r="AP274" s="219"/>
      <c r="AQ274" s="219"/>
      <c r="AR274" s="219"/>
      <c r="AS274" s="219"/>
      <c r="AT274" s="219"/>
      <c r="AU274" s="219"/>
    </row>
    <row r="275" spans="30:47" ht="15" customHeight="1" x14ac:dyDescent="0.2">
      <c r="AD275" s="219"/>
      <c r="AE275" s="219"/>
      <c r="AF275" s="219"/>
      <c r="AG275" s="219"/>
      <c r="AH275" s="219"/>
      <c r="AI275" s="219"/>
      <c r="AJ275" s="219"/>
      <c r="AK275" s="219"/>
      <c r="AL275" s="219"/>
      <c r="AM275" s="219"/>
      <c r="AN275" s="219"/>
      <c r="AO275" s="219"/>
      <c r="AP275" s="219"/>
      <c r="AQ275" s="219"/>
      <c r="AR275" s="219"/>
      <c r="AS275" s="219"/>
      <c r="AT275" s="219"/>
      <c r="AU275" s="219"/>
    </row>
    <row r="276" spans="30:47" ht="15" customHeight="1" x14ac:dyDescent="0.2">
      <c r="AD276" s="219"/>
      <c r="AE276" s="219"/>
      <c r="AF276" s="219"/>
      <c r="AG276" s="219"/>
      <c r="AH276" s="219"/>
      <c r="AI276" s="219"/>
      <c r="AJ276" s="219"/>
      <c r="AK276" s="219"/>
      <c r="AL276" s="219"/>
      <c r="AM276" s="219"/>
      <c r="AN276" s="219"/>
      <c r="AO276" s="219"/>
      <c r="AP276" s="219"/>
      <c r="AQ276" s="219"/>
      <c r="AR276" s="219"/>
      <c r="AS276" s="219"/>
      <c r="AT276" s="219"/>
      <c r="AU276" s="219"/>
    </row>
  </sheetData>
  <mergeCells count="23">
    <mergeCell ref="Q9:U9"/>
    <mergeCell ref="L8:Z8"/>
    <mergeCell ref="B8:B10"/>
    <mergeCell ref="C8:G8"/>
    <mergeCell ref="C9:C10"/>
    <mergeCell ref="E9:E10"/>
    <mergeCell ref="F9:F10"/>
    <mergeCell ref="G9:G10"/>
    <mergeCell ref="D9:D10"/>
    <mergeCell ref="V9:Z9"/>
    <mergeCell ref="L9:P9"/>
    <mergeCell ref="H8:K8"/>
    <mergeCell ref="H9:H10"/>
    <mergeCell ref="I9:K9"/>
    <mergeCell ref="AQ9:AU9"/>
    <mergeCell ref="AG8:AU8"/>
    <mergeCell ref="AD9:AF9"/>
    <mergeCell ref="AG9:AK9"/>
    <mergeCell ref="AL9:AP9"/>
    <mergeCell ref="AA8:AF8"/>
    <mergeCell ref="AA9:AA10"/>
    <mergeCell ref="AB9:AB10"/>
    <mergeCell ref="AC9:AC10"/>
  </mergeCells>
  <phoneticPr fontId="0" type="noConversion"/>
  <pageMargins left="0.75" right="0.75" top="1" bottom="1" header="0.5" footer="0.5"/>
  <pageSetup paperSize="9" scale="3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O78"/>
  <sheetViews>
    <sheetView topLeftCell="A4" zoomScale="80" zoomScaleNormal="80" workbookViewId="0">
      <pane xSplit="3" topLeftCell="D1" activePane="topRight" state="frozen"/>
      <selection pane="topRight" activeCell="D14" sqref="D14"/>
    </sheetView>
  </sheetViews>
  <sheetFormatPr defaultRowHeight="14.1" customHeight="1" outlineLevelRow="2" x14ac:dyDescent="0.2"/>
  <cols>
    <col min="1" max="1" width="10.28515625" style="16" customWidth="1"/>
    <col min="2" max="2" width="9.5703125" style="16" hidden="1" customWidth="1"/>
    <col min="3" max="3" width="40.42578125" style="16" customWidth="1"/>
    <col min="4" max="15" width="14" style="16" customWidth="1"/>
    <col min="16" max="16384" width="9.140625" style="16"/>
  </cols>
  <sheetData>
    <row r="1" spans="2:15" ht="14.1" customHeight="1" x14ac:dyDescent="0.2">
      <c r="B1" s="23"/>
    </row>
    <row r="2" spans="2:15" ht="14.1" customHeight="1" x14ac:dyDescent="0.2">
      <c r="C2" s="227"/>
      <c r="D2" s="23"/>
      <c r="E2" s="23"/>
    </row>
    <row r="3" spans="2:15" ht="14.1" customHeight="1" x14ac:dyDescent="0.2">
      <c r="B3" s="23"/>
    </row>
    <row r="4" spans="2:15" ht="14.1" customHeight="1" x14ac:dyDescent="0.2">
      <c r="C4" s="7" t="str">
        <f>UPPER(BASELINE!$C$8)</f>
        <v>BADAN KETAHANAN PANGAN DAN PENYULUHAN</v>
      </c>
      <c r="D4" s="18"/>
      <c r="E4" s="18"/>
      <c r="O4" s="10" t="str">
        <f>UPPER(CONCATENATE("DATA ",BASELINE!$C$13," POLA KONSUMSI PANGAN PENDUDUK"))</f>
        <v>DATA JUSTIFIKASI POLA KONSUMSI PANGAN PENDUDUK</v>
      </c>
    </row>
    <row r="5" spans="2:15" ht="14.1" customHeight="1" x14ac:dyDescent="0.2">
      <c r="C5" s="7" t="str">
        <f>UPPER(CONCATENATE(IF(UPPER(BASELINE!$C$7)="INDONESIA","KEMENTRIAN PERTANIAN","PROPINSI "),BASELINE!$C$7))</f>
        <v>PROPINSI SUMATERA BARAT</v>
      </c>
      <c r="D5" s="17"/>
      <c r="E5" s="17"/>
      <c r="H5" s="72"/>
      <c r="I5" s="72"/>
      <c r="K5" s="27"/>
      <c r="L5" s="27"/>
      <c r="M5" s="27"/>
      <c r="N5" s="27"/>
      <c r="O5" s="10" t="s">
        <v>395</v>
      </c>
    </row>
    <row r="6" spans="2:15" ht="14.1" customHeight="1" x14ac:dyDescent="0.2">
      <c r="C6" s="7" t="str">
        <f>UPPER(BASELINE!$C$9)</f>
        <v>JL H AGUS SALIM PAINAN</v>
      </c>
      <c r="D6" s="72"/>
      <c r="E6" s="72"/>
      <c r="F6" s="28"/>
      <c r="J6" s="24"/>
      <c r="K6" s="27"/>
      <c r="L6" s="27"/>
      <c r="M6" s="27"/>
      <c r="N6" s="29"/>
      <c r="O6" s="10" t="str">
        <f>UPPER(CONCATENATE(IF(UPPER(BASELINE!$C$7)="INDONESIA","","PROPINSI "),BASELINE!$C$7," TAHUN ",BASELINE!$C$12))</f>
        <v>PROPINSI SUMATERA BARAT TAHUN 2015</v>
      </c>
    </row>
    <row r="7" spans="2:15" ht="14.1" customHeight="1" x14ac:dyDescent="0.2">
      <c r="B7" s="18"/>
      <c r="D7" s="72"/>
      <c r="E7" s="72"/>
      <c r="F7" s="28"/>
      <c r="J7" s="24"/>
      <c r="K7" s="27"/>
      <c r="L7" s="27"/>
      <c r="M7" s="27"/>
      <c r="N7" s="29"/>
      <c r="O7" s="30"/>
    </row>
    <row r="8" spans="2:15" ht="14.1" customHeight="1" x14ac:dyDescent="0.2">
      <c r="B8" s="24"/>
      <c r="C8" s="24"/>
      <c r="D8" s="24"/>
      <c r="E8" s="24"/>
      <c r="F8" s="24"/>
      <c r="G8" s="24"/>
      <c r="H8" s="24"/>
      <c r="I8" s="24"/>
      <c r="J8" s="24"/>
      <c r="K8" s="24"/>
      <c r="L8" s="24"/>
      <c r="M8" s="24"/>
      <c r="N8" s="24"/>
      <c r="O8" s="24"/>
    </row>
    <row r="9" spans="2:15" ht="14.1" customHeight="1" x14ac:dyDescent="0.2">
      <c r="B9" s="351" t="s">
        <v>4</v>
      </c>
      <c r="C9" s="364" t="s">
        <v>185</v>
      </c>
      <c r="D9" s="358" t="s">
        <v>455</v>
      </c>
      <c r="E9" s="358"/>
      <c r="F9" s="358"/>
      <c r="G9" s="358"/>
      <c r="H9" s="358" t="s">
        <v>438</v>
      </c>
      <c r="I9" s="358"/>
      <c r="J9" s="358"/>
      <c r="K9" s="358"/>
      <c r="L9" s="358" t="s">
        <v>439</v>
      </c>
      <c r="M9" s="358"/>
      <c r="N9" s="358"/>
      <c r="O9" s="358"/>
    </row>
    <row r="10" spans="2:15" ht="14.1" customHeight="1" x14ac:dyDescent="0.2">
      <c r="B10" s="358"/>
      <c r="C10" s="364"/>
      <c r="D10" s="376" t="s">
        <v>434</v>
      </c>
      <c r="E10" s="358"/>
      <c r="F10" s="363" t="s">
        <v>437</v>
      </c>
      <c r="G10" s="358"/>
      <c r="H10" s="376" t="s">
        <v>434</v>
      </c>
      <c r="I10" s="358"/>
      <c r="J10" s="363" t="s">
        <v>437</v>
      </c>
      <c r="K10" s="358"/>
      <c r="L10" s="376" t="s">
        <v>434</v>
      </c>
      <c r="M10" s="358"/>
      <c r="N10" s="363" t="s">
        <v>437</v>
      </c>
      <c r="O10" s="358"/>
    </row>
    <row r="11" spans="2:15" ht="14.1" customHeight="1" x14ac:dyDescent="0.2">
      <c r="B11" s="358"/>
      <c r="C11" s="375"/>
      <c r="D11" s="73" t="s">
        <v>404</v>
      </c>
      <c r="E11" s="73" t="s">
        <v>433</v>
      </c>
      <c r="F11" s="73" t="s">
        <v>186</v>
      </c>
      <c r="G11" s="73" t="s">
        <v>435</v>
      </c>
      <c r="H11" s="73" t="s">
        <v>404</v>
      </c>
      <c r="I11" s="73" t="s">
        <v>433</v>
      </c>
      <c r="J11" s="73" t="s">
        <v>186</v>
      </c>
      <c r="K11" s="73" t="s">
        <v>435</v>
      </c>
      <c r="L11" s="73" t="s">
        <v>404</v>
      </c>
      <c r="M11" s="73" t="s">
        <v>433</v>
      </c>
      <c r="N11" s="73" t="s">
        <v>186</v>
      </c>
      <c r="O11" s="73" t="s">
        <v>435</v>
      </c>
    </row>
    <row r="12" spans="2:15" ht="14.1" customHeight="1" x14ac:dyDescent="0.2">
      <c r="B12" s="358"/>
      <c r="C12" s="375"/>
      <c r="D12" s="34" t="s">
        <v>428</v>
      </c>
      <c r="E12" s="34" t="s">
        <v>427</v>
      </c>
      <c r="F12" s="34" t="s">
        <v>7</v>
      </c>
      <c r="G12" s="34" t="s">
        <v>436</v>
      </c>
      <c r="H12" s="34" t="s">
        <v>428</v>
      </c>
      <c r="I12" s="34" t="s">
        <v>427</v>
      </c>
      <c r="J12" s="34" t="s">
        <v>7</v>
      </c>
      <c r="K12" s="34" t="s">
        <v>436</v>
      </c>
      <c r="L12" s="34" t="s">
        <v>428</v>
      </c>
      <c r="M12" s="34" t="s">
        <v>427</v>
      </c>
      <c r="N12" s="34" t="s">
        <v>7</v>
      </c>
      <c r="O12" s="34" t="s">
        <v>436</v>
      </c>
    </row>
    <row r="13" spans="2:15" ht="14.1" customHeight="1" outlineLevel="2" x14ac:dyDescent="0.2">
      <c r="B13" s="37"/>
      <c r="C13" s="38" t="s">
        <v>208</v>
      </c>
      <c r="D13" s="372"/>
      <c r="E13" s="373"/>
      <c r="F13" s="373"/>
      <c r="G13" s="373"/>
      <c r="H13" s="373"/>
      <c r="I13" s="373"/>
      <c r="J13" s="373"/>
      <c r="K13" s="373"/>
      <c r="L13" s="373"/>
      <c r="M13" s="373"/>
      <c r="N13" s="373"/>
      <c r="O13" s="374"/>
    </row>
    <row r="14" spans="2:15" ht="14.1" customHeight="1" outlineLevel="2" x14ac:dyDescent="0.2">
      <c r="B14" s="41">
        <v>1</v>
      </c>
      <c r="C14" s="42" t="s">
        <v>137</v>
      </c>
      <c r="D14" s="76">
        <f t="array" ref="D14">SUM(IF(SUSENAS!$AB$11:$AB$256=$B14,SUSENAS!$AG$11:$AG$255,0))</f>
        <v>100.61565125638077</v>
      </c>
      <c r="E14" s="76">
        <f t="array" ref="E14">SUM(IF(SUSENAS!$AB$11:$AB$256=$B14,SUSENAS!$AH$11:$AH$255,0))</f>
        <v>2.3353831921363239</v>
      </c>
      <c r="F14" s="76">
        <f t="array" ref="F14">SUM(IF(SUSENAS!$AB$11:$AB$256=$B14,SUSENAS!$AK$11:$AK$255,0))</f>
        <v>27.942412645370133</v>
      </c>
      <c r="G14" s="77">
        <f>F14*365/1000</f>
        <v>10.198980615560098</v>
      </c>
      <c r="H14" s="76">
        <f t="array" ref="H14">SUM(IF(SUSENAS!$AB$11:$AB$256=$B14,SUSENAS!$AL$11:$AL$255,0))</f>
        <v>1079.8650739246732</v>
      </c>
      <c r="I14" s="76">
        <f t="array" ref="I14">SUM(IF(SUSENAS!$AB$11:$AB$256=$B14,SUSENAS!$AM$11:$AM$255,0))</f>
        <v>24.860885221607582</v>
      </c>
      <c r="J14" s="76">
        <f t="array" ref="J14">SUM(IF(SUSENAS!$AB$11:$AB$256=$B14,SUSENAS!$AP$11:$AP$255,0))</f>
        <v>298.1120192046879</v>
      </c>
      <c r="K14" s="77">
        <f>J14*365/1000</f>
        <v>108.81088700971108</v>
      </c>
      <c r="L14" s="76">
        <f t="array" ref="L14">SUM(IF(SUSENAS!$AB$11:$AB$256=$B14,SUSENAS!$AQ$11:$AQ$255,0))</f>
        <v>1180.4807251810539</v>
      </c>
      <c r="M14" s="76">
        <f t="array" ref="M14">SUM(IF(SUSENAS!$AB$11:$AB$256=$B14,SUSENAS!$AR$11:$AR$255,0))</f>
        <v>27.196268413743901</v>
      </c>
      <c r="N14" s="76">
        <f t="array" ref="N14">SUM(IF(SUSENAS!$AB$11:$AB$256=$B14,SUSENAS!$AU$11:$AU$255,0))</f>
        <v>326.05443185005788</v>
      </c>
      <c r="O14" s="77">
        <f>N14*365/1000</f>
        <v>119.00986762527113</v>
      </c>
    </row>
    <row r="15" spans="2:15" ht="14.1" customHeight="1" outlineLevel="2" x14ac:dyDescent="0.2">
      <c r="B15" s="41">
        <v>2</v>
      </c>
      <c r="C15" s="37" t="s">
        <v>138</v>
      </c>
      <c r="D15" s="76">
        <f t="array" ref="D15">SUM(IF(SUSENAS!$AB$11:$AB$256=$B15,SUSENAS!$AG$11:$AG$255,0))</f>
        <v>1.3454182772268765E-2</v>
      </c>
      <c r="E15" s="76">
        <f t="array" ref="E15">SUM(IF(SUSENAS!$AB$11:$AB$256=$B15,SUSENAS!$AH$11:$AH$255,0))</f>
        <v>4.2761356097908483E-4</v>
      </c>
      <c r="F15" s="76">
        <f>SUM(IF(SUSENAS!$AB$11:$AB$256=$B15,SUSENAS!$AK$11:$AK$255,0))</f>
        <v>204.2150580890694</v>
      </c>
      <c r="G15" s="77">
        <f t="shared" ref="G15:G17" si="0">F15*365/1000</f>
        <v>74.538496202510331</v>
      </c>
      <c r="H15" s="76">
        <f t="array" ref="H15">SUM(IF(SUSENAS!$AB$11:$AB$256=$B15,SUSENAS!$AL$11:$AL$255,0))</f>
        <v>0.72994743082851254</v>
      </c>
      <c r="I15" s="76">
        <f t="array" ref="I15">SUM(IF(SUSENAS!$AB$11:$AB$256=$B15,SUSENAS!$AM$11:$AM$255,0))</f>
        <v>2.1500148827394996E-2</v>
      </c>
      <c r="J15" s="76">
        <f t="array" ref="J15">SUM(IF(SUSENAS!$AB$11:$AB$256=$B15,SUSENAS!$AP$11:$AP$255,0))</f>
        <v>0.56741401651439793</v>
      </c>
      <c r="K15" s="77">
        <f t="shared" ref="K15:K17" si="1">J15*365/1000</f>
        <v>0.20710611602775522</v>
      </c>
      <c r="L15" s="76">
        <f t="array" ref="L15">SUM(IF(SUSENAS!$AB$11:$AB$256=$B15,SUSENAS!$AQ$11:$AQ$255,0))</f>
        <v>0.7434016136007815</v>
      </c>
      <c r="M15" s="76">
        <f t="array" ref="M15">SUM(IF(SUSENAS!$AB$11:$AB$256=$B15,SUSENAS!$AR$11:$AR$255,0))</f>
        <v>2.1927762388374086E-2</v>
      </c>
      <c r="N15" s="76">
        <f t="array" ref="N15">SUM(IF(SUSENAS!$AB$11:$AB$256=$B15,SUSENAS!$AU$11:$AU$255,0))</f>
        <v>0.5819409580459175</v>
      </c>
      <c r="O15" s="77">
        <f t="shared" ref="O15:O17" si="2">N15*365/1000</f>
        <v>0.2124084496867599</v>
      </c>
    </row>
    <row r="16" spans="2:15" ht="14.1" customHeight="1" outlineLevel="2" x14ac:dyDescent="0.2">
      <c r="B16" s="41">
        <v>3</v>
      </c>
      <c r="C16" s="37" t="s">
        <v>139</v>
      </c>
      <c r="D16" s="76">
        <f t="array" ref="D16">SUM(IF(SUSENAS!$AB$11:$AB$256=$B16,SUSENAS!$AG$11:$AG$255,0))</f>
        <v>17.707124057235582</v>
      </c>
      <c r="E16" s="76">
        <f t="array" ref="E16">SUM(IF(SUSENAS!$AB$11:$AB$256=$B16,SUSENAS!$AH$11:$AH$255,0))</f>
        <v>0.44177031408964357</v>
      </c>
      <c r="F16" s="76">
        <f t="array" ref="F16">SUM(IF(SUSENAS!$AB$11:$AB$256=$B16,SUSENAS!$AK$11:$AK$255,0))</f>
        <v>3.6380947968926116</v>
      </c>
      <c r="G16" s="77">
        <f t="shared" si="0"/>
        <v>1.3279046008658033</v>
      </c>
      <c r="H16" s="76">
        <f t="array" ref="H16">SUM(IF(SUSENAS!$AB$11:$AB$256=$B16,SUSENAS!$AL$11:$AL$255,0))</f>
        <v>220.26495304195126</v>
      </c>
      <c r="I16" s="76">
        <f t="array" ref="I16">SUM(IF(SUSENAS!$AB$11:$AB$256=$B16,SUSENAS!$AM$11:$AM$255,0))</f>
        <v>5.130095622617711</v>
      </c>
      <c r="J16" s="76">
        <f t="array" ref="J16">SUM(IF(SUSENAS!$AB$11:$AB$256=$B16,SUSENAS!$AP$11:$AP$255,0))</f>
        <v>43.312982594984</v>
      </c>
      <c r="K16" s="77">
        <f t="shared" si="1"/>
        <v>15.809238647169161</v>
      </c>
      <c r="L16" s="76">
        <f t="array" ref="L16">SUM(IF(SUSENAS!$AB$11:$AB$256=$B16,SUSENAS!$AQ$11:$AQ$255,0))</f>
        <v>237.97207709918675</v>
      </c>
      <c r="M16" s="76">
        <f t="array" ref="M16">SUM(IF(SUSENAS!$AB$11:$AB$256=$B16,SUSENAS!$AR$11:$AR$255,0))</f>
        <v>5.5718659367073533</v>
      </c>
      <c r="N16" s="76">
        <f t="array" ref="N16">SUM(IF(SUSENAS!$AB$11:$AB$256=$B16,SUSENAS!$AU$11:$AU$255,0))</f>
        <v>46.951077391876609</v>
      </c>
      <c r="O16" s="77">
        <f t="shared" si="2"/>
        <v>17.13714324803496</v>
      </c>
    </row>
    <row r="17" spans="2:15" ht="14.1" customHeight="1" outlineLevel="1" x14ac:dyDescent="0.2">
      <c r="B17" s="49"/>
      <c r="C17" s="49" t="s">
        <v>140</v>
      </c>
      <c r="D17" s="80">
        <f>SUM(D$14:D$16)</f>
        <v>118.33622949638863</v>
      </c>
      <c r="E17" s="80">
        <f>SUM(E$14:E$16)</f>
        <v>2.7775811197869467</v>
      </c>
      <c r="F17" s="80">
        <f>SUM(F$14:F$16)</f>
        <v>235.79556553133213</v>
      </c>
      <c r="G17" s="77">
        <f t="shared" si="0"/>
        <v>86.065381418936227</v>
      </c>
      <c r="H17" s="80">
        <f>SUM(H$14:H$16)</f>
        <v>1300.859974397453</v>
      </c>
      <c r="I17" s="80">
        <f>SUM(I$14:I$16)</f>
        <v>30.012480993052691</v>
      </c>
      <c r="J17" s="80">
        <f>SUM(J$14:J$16)</f>
        <v>341.99241581618634</v>
      </c>
      <c r="K17" s="77">
        <f t="shared" si="1"/>
        <v>124.82723177290801</v>
      </c>
      <c r="L17" s="80">
        <f>SUM(L$14:L$16)</f>
        <v>1419.1962038938414</v>
      </c>
      <c r="M17" s="80">
        <f>SUM(M$14:M$16)</f>
        <v>32.790062112839628</v>
      </c>
      <c r="N17" s="80">
        <f>SUM(N$14:N$16)</f>
        <v>373.58745019998037</v>
      </c>
      <c r="O17" s="77">
        <f t="shared" si="2"/>
        <v>136.35941932299281</v>
      </c>
    </row>
    <row r="18" spans="2:15" ht="14.1" customHeight="1" outlineLevel="2" x14ac:dyDescent="0.2">
      <c r="B18" s="37"/>
      <c r="C18" s="50" t="s">
        <v>189</v>
      </c>
      <c r="D18" s="82"/>
      <c r="E18" s="82"/>
      <c r="F18" s="82"/>
      <c r="G18" s="52"/>
      <c r="H18" s="82"/>
      <c r="I18" s="82"/>
      <c r="J18" s="82"/>
      <c r="K18" s="52"/>
      <c r="L18" s="82"/>
      <c r="M18" s="82"/>
      <c r="N18" s="82"/>
      <c r="O18" s="52"/>
    </row>
    <row r="19" spans="2:15" ht="14.1" customHeight="1" outlineLevel="2" x14ac:dyDescent="0.2">
      <c r="B19" s="41">
        <v>4</v>
      </c>
      <c r="C19" s="37" t="s">
        <v>384</v>
      </c>
      <c r="D19" s="76">
        <f t="array" ref="D19">SUM(IF(SUSENAS!$AB$11:$AB$256=$B19,SUSENAS!$AG$11:$AG$255,0))</f>
        <v>0.51198067762484301</v>
      </c>
      <c r="E19" s="76">
        <f t="array" ref="E19">SUM(IF(SUSENAS!$AB$11:$AB$256=$B19,SUSENAS!$AH$11:$AH$255,0))</f>
        <v>4.1195143946515037E-3</v>
      </c>
      <c r="F19" s="76">
        <f t="array" ref="F19">SUM(IF(SUSENAS!$AB$11:$AB$256=$B19,SUSENAS!$AK$11:$AK$255,0))</f>
        <v>0.43681187340023842</v>
      </c>
      <c r="G19" s="77">
        <f t="shared" ref="G19:G24" si="3">F19*365/1000</f>
        <v>0.15943633379108701</v>
      </c>
      <c r="H19" s="76">
        <f t="array" ref="H19">SUM(IF(SUSENAS!$AB$11:$AB$256=$B19,SUSENAS!$AL$11:$AL$255,0))</f>
        <v>2.633597914693683</v>
      </c>
      <c r="I19" s="76">
        <f t="array" ref="I19">SUM(IF(SUSENAS!$AB$11:$AB$256=$B19,SUSENAS!$AM$11:$AM$255,0))</f>
        <v>1.7298583011896785E-2</v>
      </c>
      <c r="J19" s="76">
        <f t="array" ref="J19">SUM(IF(SUSENAS!$AB$11:$AB$256=$B19,SUSENAS!$AP$11:$AP$255,0))</f>
        <v>2.0588355561671121</v>
      </c>
      <c r="K19" s="77">
        <f t="shared" ref="K19:K24" si="4">J19*365/1000</f>
        <v>0.75147497800099594</v>
      </c>
      <c r="L19" s="76">
        <f t="array" ref="L19">SUM(IF(SUSENAS!$AB$11:$AB$256=$B19,SUSENAS!$AQ$11:$AQ$255,0))</f>
        <v>3.1455785923185262</v>
      </c>
      <c r="M19" s="76">
        <f t="array" ref="M19">SUM(IF(SUSENAS!$AB$11:$AB$256=$B19,SUSENAS!$AR$11:$AR$255,0))</f>
        <v>2.1418097406548292E-2</v>
      </c>
      <c r="N19" s="76">
        <f t="array" ref="N19">SUM(IF(SUSENAS!$AB$11:$AB$256=$B19,SUSENAS!$AU$11:$AU$255,0))</f>
        <v>2.495647429567351</v>
      </c>
      <c r="O19" s="77">
        <f t="shared" ref="O19:O24" si="5">N19*365/1000</f>
        <v>0.91091131179208307</v>
      </c>
    </row>
    <row r="20" spans="2:15" ht="14.1" customHeight="1" outlineLevel="2" x14ac:dyDescent="0.2">
      <c r="B20" s="41">
        <v>5</v>
      </c>
      <c r="C20" s="37" t="s">
        <v>141</v>
      </c>
      <c r="D20" s="76">
        <f t="array" ref="D20">SUM(IF(SUSENAS!$AB$11:$AB$256=$B20,SUSENAS!$AG$11:$AG$255,0))</f>
        <v>0.63907626965593689</v>
      </c>
      <c r="E20" s="76">
        <f t="array" ref="E20">SUM(IF(SUSENAS!$AB$11:$AB$256=$B20,SUSENAS!$AH$11:$AH$255,0))</f>
        <v>6.0130339109799816E-3</v>
      </c>
      <c r="F20" s="76">
        <f t="array" ref="F20">SUM(IF(SUSENAS!$AB$11:$AB$256=$B20,SUSENAS!$AK$11:$AK$255,0))</f>
        <v>0.51044430483701031</v>
      </c>
      <c r="G20" s="77">
        <f t="shared" si="3"/>
        <v>0.18631217126550875</v>
      </c>
      <c r="H20" s="76">
        <f t="array" ref="H20">SUM(IF(SUSENAS!$AB$11:$AB$256=$B20,SUSENAS!$AL$11:$AL$255,0))</f>
        <v>2.6085227421234061</v>
      </c>
      <c r="I20" s="76">
        <f t="array" ref="I20">SUM(IF(SUSENAS!$AB$11:$AB$256=$B20,SUSENAS!$AM$11:$AM$255,0))</f>
        <v>2.4543448803685079E-2</v>
      </c>
      <c r="J20" s="76">
        <f t="array" ref="J20">SUM(IF(SUSENAS!$AB$11:$AB$256=$B20,SUSENAS!$AP$11:$AP$255,0))</f>
        <v>2.0834846183094293</v>
      </c>
      <c r="K20" s="77">
        <f t="shared" si="4"/>
        <v>0.76047188568294166</v>
      </c>
      <c r="L20" s="76">
        <f t="array" ref="L20">SUM(IF(SUSENAS!$AB$11:$AB$256=$B20,SUSENAS!$AQ$11:$AQ$255,0))</f>
        <v>3.2475990117793416</v>
      </c>
      <c r="M20" s="76">
        <f t="array" ref="M20">SUM(IF(SUSENAS!$AB$11:$AB$256=$B20,SUSENAS!$AR$11:$AR$255,0))</f>
        <v>3.0556482714665049E-2</v>
      </c>
      <c r="N20" s="76">
        <f t="array" ref="N20">SUM(IF(SUSENAS!$AB$11:$AB$256=$B20,SUSENAS!$AU$11:$AU$255,0))</f>
        <v>2.5939289231464393</v>
      </c>
      <c r="O20" s="77">
        <f t="shared" si="5"/>
        <v>0.94678405694845036</v>
      </c>
    </row>
    <row r="21" spans="2:15" ht="14.1" customHeight="1" outlineLevel="2" x14ac:dyDescent="0.2">
      <c r="B21" s="41">
        <v>6</v>
      </c>
      <c r="C21" s="37" t="s">
        <v>142</v>
      </c>
      <c r="D21" s="76">
        <f t="array" ref="D21">SUM(IF(SUSENAS!$AB$11:$AB$256=$B21,SUSENAS!$AG$11:$AG$255,0))</f>
        <v>1.3634589034074325</v>
      </c>
      <c r="E21" s="76">
        <f t="array" ref="E21">SUM(IF(SUSENAS!$AB$11:$AB$256=$B21,SUSENAS!$AH$11:$AH$255,0))</f>
        <v>4.6181672534767876E-2</v>
      </c>
      <c r="F21" s="76">
        <f t="array" ref="F21">SUM(IF(SUSENAS!$AB$11:$AB$256=$B21,SUSENAS!$AK$11:$AK$255,0))</f>
        <v>2.6180086470956847</v>
      </c>
      <c r="G21" s="77">
        <f t="shared" si="3"/>
        <v>0.95557315618992489</v>
      </c>
      <c r="H21" s="76">
        <f t="array" ref="H21">SUM(IF(SUSENAS!$AB$11:$AB$256=$B21,SUSENAS!$AL$11:$AL$255,0))</f>
        <v>8.6826783147195279</v>
      </c>
      <c r="I21" s="76">
        <f t="array" ref="I21">SUM(IF(SUSENAS!$AB$11:$AB$256=$B21,SUSENAS!$AM$11:$AM$255,0))</f>
        <v>0.29409071711146795</v>
      </c>
      <c r="J21" s="76">
        <f t="array" ref="J21">SUM(IF(SUSENAS!$AB$11:$AB$256=$B21,SUSENAS!$AP$11:$AP$255,0))</f>
        <v>16.671809360060539</v>
      </c>
      <c r="K21" s="77">
        <f t="shared" si="4"/>
        <v>6.0852104164220968</v>
      </c>
      <c r="L21" s="76">
        <f t="array" ref="L21">SUM(IF(SUSENAS!$AB$11:$AB$256=$B21,SUSENAS!$AQ$11:$AQ$255,0))</f>
        <v>10.046137218126955</v>
      </c>
      <c r="M21" s="76">
        <f t="array" ref="M21">SUM(IF(SUSENAS!$AB$11:$AB$256=$B21,SUSENAS!$AR$11:$AR$255,0))</f>
        <v>0.34027238964623557</v>
      </c>
      <c r="N21" s="76">
        <f t="array" ref="N21">SUM(IF(SUSENAS!$AB$11:$AB$256=$B21,SUSENAS!$AU$11:$AU$255,0))</f>
        <v>19.289818007156214</v>
      </c>
      <c r="O21" s="77">
        <f t="shared" si="5"/>
        <v>7.0407835726120185</v>
      </c>
    </row>
    <row r="22" spans="2:15" ht="14.1" customHeight="1" outlineLevel="2" x14ac:dyDescent="0.2">
      <c r="B22" s="41">
        <v>7</v>
      </c>
      <c r="C22" s="37" t="s">
        <v>12</v>
      </c>
      <c r="D22" s="76">
        <f t="array" ref="D22">SUM(IF(SUSENAS!$AB$11:$AB$256=$B22,SUSENAS!$AG$11:$AG$255,0))</f>
        <v>0</v>
      </c>
      <c r="E22" s="76">
        <f t="array" ref="E22">SUM(IF(SUSENAS!$AB$11:$AB$256=$B22,SUSENAS!$AH$11:$AH$255,0))</f>
        <v>0</v>
      </c>
      <c r="F22" s="76">
        <f t="array" ref="F22">SUM(IF(SUSENAS!$AB$11:$AB$256=$B22,SUSENAS!$AK$11:$AK$255,0))</f>
        <v>0</v>
      </c>
      <c r="G22" s="77">
        <f t="shared" si="3"/>
        <v>0</v>
      </c>
      <c r="H22" s="76">
        <f t="array" ref="H22">SUM(IF(SUSENAS!$AB$11:$AB$256=$B22,SUSENAS!$AL$11:$AL$255,0))</f>
        <v>0</v>
      </c>
      <c r="I22" s="76">
        <f t="array" ref="I22">SUM(IF(SUSENAS!$AB$11:$AB$256=$B22,SUSENAS!$AM$11:$AM$255,0))</f>
        <v>0</v>
      </c>
      <c r="J22" s="76">
        <f t="array" ref="J22">SUM(IF(SUSENAS!$AB$11:$AB$256=$B22,SUSENAS!$AP$11:$AP$255,0))</f>
        <v>0</v>
      </c>
      <c r="K22" s="77">
        <f t="shared" si="4"/>
        <v>0</v>
      </c>
      <c r="L22" s="76">
        <f t="array" ref="L22">SUM(IF(SUSENAS!$AB$11:$AB$256=$B22,SUSENAS!$AQ$11:$AQ$255,0))</f>
        <v>0</v>
      </c>
      <c r="M22" s="76">
        <f t="array" ref="M22">SUM(IF(SUSENAS!$AB$11:$AB$256=$B22,SUSENAS!$AR$11:$AR$255,0))</f>
        <v>0</v>
      </c>
      <c r="N22" s="76">
        <f t="array" ref="N22">SUM(IF(SUSENAS!$AB$11:$AB$256=$B22,SUSENAS!$AU$11:$AU$255,0))</f>
        <v>0</v>
      </c>
      <c r="O22" s="77">
        <f t="shared" si="5"/>
        <v>0</v>
      </c>
    </row>
    <row r="23" spans="2:15" ht="14.1" customHeight="1" outlineLevel="2" x14ac:dyDescent="0.2">
      <c r="B23" s="41">
        <v>8</v>
      </c>
      <c r="C23" s="37" t="s">
        <v>143</v>
      </c>
      <c r="D23" s="76">
        <f t="array" ref="D23">SUM(IF(SUSENAS!$AB$11:$AB$256=$B23,SUSENAS!$AG$11:$AG$255,0))</f>
        <v>0</v>
      </c>
      <c r="E23" s="76">
        <f t="array" ref="E23">SUM(IF(SUSENAS!$AB$11:$AB$256=$B23,SUSENAS!$AH$11:$AH$255,0))</f>
        <v>0</v>
      </c>
      <c r="F23" s="76">
        <f t="array" ref="F23">SUM(IF(SUSENAS!$AB$11:$AB$256=$B23,SUSENAS!$AK$11:$AK$255,0))</f>
        <v>0</v>
      </c>
      <c r="G23" s="77">
        <f t="shared" si="3"/>
        <v>0</v>
      </c>
      <c r="H23" s="76">
        <f t="array" ref="H23">SUM(IF(SUSENAS!$AB$11:$AB$256=$B23,SUSENAS!$AL$11:$AL$255,0))</f>
        <v>0.52337032350612689</v>
      </c>
      <c r="I23" s="76">
        <f t="array" ref="I23">SUM(IF(SUSENAS!$AB$11:$AB$256=$B23,SUSENAS!$AM$11:$AM$255,0))</f>
        <v>7.1473480302598827E-3</v>
      </c>
      <c r="J23" s="76">
        <f t="array" ref="J23">SUM(IF(SUSENAS!$AB$11:$AB$256=$B23,SUSENAS!$AP$11:$AP$255,0))</f>
        <v>0.46111922775870212</v>
      </c>
      <c r="K23" s="77">
        <f t="shared" si="4"/>
        <v>0.16830851813192627</v>
      </c>
      <c r="L23" s="76">
        <f t="array" ref="L23">SUM(IF(SUSENAS!$AB$11:$AB$256=$B23,SUSENAS!$AQ$11:$AQ$255,0))</f>
        <v>0.52337032350612689</v>
      </c>
      <c r="M23" s="76">
        <f t="array" ref="M23">SUM(IF(SUSENAS!$AB$11:$AB$256=$B23,SUSENAS!$AR$11:$AR$255,0))</f>
        <v>7.1473480302598827E-3</v>
      </c>
      <c r="N23" s="76">
        <f t="array" ref="N23">SUM(IF(SUSENAS!$AB$11:$AB$256=$B23,SUSENAS!$AU$11:$AU$255,0))</f>
        <v>0.46111922775870212</v>
      </c>
      <c r="O23" s="77">
        <f t="shared" si="5"/>
        <v>0.16830851813192627</v>
      </c>
    </row>
    <row r="24" spans="2:15" ht="14.1" customHeight="1" outlineLevel="1" x14ac:dyDescent="0.2">
      <c r="B24" s="49"/>
      <c r="C24" s="49" t="s">
        <v>144</v>
      </c>
      <c r="D24" s="80">
        <f>SUM(D$19:D$23)</f>
        <v>2.5145158506882126</v>
      </c>
      <c r="E24" s="80">
        <f>SUM(E$19:E$23)</f>
        <v>5.6314220840399359E-2</v>
      </c>
      <c r="F24" s="80">
        <f>SUM(F$19:F$23)</f>
        <v>3.5652648253329335</v>
      </c>
      <c r="G24" s="77">
        <f t="shared" si="3"/>
        <v>1.3013216612465208</v>
      </c>
      <c r="H24" s="80">
        <f>SUM(H$19:H$23)</f>
        <v>14.448169295042744</v>
      </c>
      <c r="I24" s="80">
        <f>SUM(I$19:I$23)</f>
        <v>0.34308009695730973</v>
      </c>
      <c r="J24" s="80">
        <f>SUM(J$19:J$23)</f>
        <v>21.275248762295782</v>
      </c>
      <c r="K24" s="77">
        <f t="shared" si="4"/>
        <v>7.76546579823796</v>
      </c>
      <c r="L24" s="80">
        <f>SUM(L$19:L$23)</f>
        <v>16.962685145730951</v>
      </c>
      <c r="M24" s="80">
        <f>SUM(M$19:M$23)</f>
        <v>0.39939431779770879</v>
      </c>
      <c r="N24" s="80">
        <f>SUM(N$19:N$23)</f>
        <v>24.840513587628706</v>
      </c>
      <c r="O24" s="77">
        <f t="shared" si="5"/>
        <v>9.0667874594844786</v>
      </c>
    </row>
    <row r="25" spans="2:15" ht="14.1" customHeight="1" outlineLevel="2" x14ac:dyDescent="0.2">
      <c r="B25" s="37"/>
      <c r="C25" s="50" t="s">
        <v>187</v>
      </c>
      <c r="D25" s="82"/>
      <c r="E25" s="82"/>
      <c r="F25" s="82"/>
      <c r="G25" s="52"/>
      <c r="H25" s="82"/>
      <c r="I25" s="82"/>
      <c r="J25" s="82"/>
      <c r="K25" s="52"/>
      <c r="L25" s="82"/>
      <c r="M25" s="82"/>
      <c r="N25" s="82"/>
      <c r="O25" s="52"/>
    </row>
    <row r="26" spans="2:15" ht="14.1" customHeight="1" outlineLevel="2" x14ac:dyDescent="0.2">
      <c r="B26" s="41">
        <v>9</v>
      </c>
      <c r="C26" s="37" t="s">
        <v>145</v>
      </c>
      <c r="D26" s="76">
        <f t="array" ref="D26">SUM(IF(SUSENAS!$AB$11:$AB$256=$B26,SUSENAS!$AG$11:$AG$255,0))+SUSENAS!$AG$240/2</f>
        <v>0.57641348144228421</v>
      </c>
      <c r="E26" s="76">
        <f t="array" ref="E26">SUM(IF(SUSENAS!$AB$11:$AB$256=$B26,SUSENAS!$AH$11:$AH$255,0))+SUSENAS!$AH$240/2</f>
        <v>5.1752426682961782E-2</v>
      </c>
      <c r="F26" s="76">
        <f t="array" ref="F26">SUM(IF(SUSENAS!$AB$11:$AB$256=$B26,SUSENAS!$AK$11:$AK$255,0))+SUSENAS!$AK$240/2</f>
        <v>0.26058560577541962</v>
      </c>
      <c r="G26" s="77">
        <f t="shared" ref="G26:G31" si="6">F26*365/1000</f>
        <v>9.5113746108028155E-2</v>
      </c>
      <c r="H26" s="76">
        <f t="array" ref="H26">SUM(IF(SUSENAS!$AB$11:$AB$256=$B26,SUSENAS!$AL$11:$AL$255,0))+SUSENAS!$AL$240/2</f>
        <v>2.4145180021946353</v>
      </c>
      <c r="I26" s="76">
        <f t="array" ref="I26">SUM(IF(SUSENAS!$AB$11:$AB$256=$B26,SUSENAS!$AM$11:$AM$255,0))+SUSENAS!$AM$240/2</f>
        <v>0.19364872940465139</v>
      </c>
      <c r="J26" s="76">
        <f t="array" ref="J26">SUM(IF(SUSENAS!$AB$11:$AB$256=$B26,SUSENAS!$AP$11:$AP$255,0))+SUSENAS!$AP$240/2</f>
        <v>0.82149295775188347</v>
      </c>
      <c r="K26" s="77">
        <f t="shared" ref="K26:K31" si="7">J26*365/1000</f>
        <v>0.29984492957943748</v>
      </c>
      <c r="L26" s="76">
        <f t="array" ref="L26">SUM(IF(SUSENAS!$AB$11:$AB$256=$B26,SUSENAS!$AQ$11:$AQ$255,0))+SUSENAS!$AQ$240/2</f>
        <v>2.9909314836369187</v>
      </c>
      <c r="M26" s="76">
        <f t="array" ref="M26">SUM(IF(SUSENAS!$AB$11:$AB$256=$B26,SUSENAS!$AR$11:$AR$255,0))+SUSENAS!$AR$240/2</f>
        <v>0.24540115608761315</v>
      </c>
      <c r="N26" s="76">
        <f t="array" ref="N26">SUM(IF(SUSENAS!$AB$11:$AB$256=$B26,SUSENAS!$AU$11:$AU$255,0))+SUSENAS!$AU$240/2</f>
        <v>1.0820785635273031</v>
      </c>
      <c r="O26" s="77">
        <f t="shared" ref="O26:O31" si="8">N26*365/1000</f>
        <v>0.39495867568746562</v>
      </c>
    </row>
    <row r="27" spans="2:15" ht="14.1" customHeight="1" outlineLevel="2" x14ac:dyDescent="0.2">
      <c r="B27" s="41">
        <v>10</v>
      </c>
      <c r="C27" s="37" t="s">
        <v>146</v>
      </c>
      <c r="D27" s="76">
        <f t="array" ref="D27">SUM(IF(SUSENAS!$AB$11:$AB$256=$B27,SUSENAS!$AG$11:$AG$255,0))-SUSENAS!$AG$240/2</f>
        <v>7.1643720802677295</v>
      </c>
      <c r="E27" s="76">
        <f t="array" ref="E27">SUM(IF(SUSENAS!$AB$11:$AB$256=$B27,SUSENAS!$AH$11:$AH$255,0))-SUSENAS!$AH$240/2</f>
        <v>0.43468709764441876</v>
      </c>
      <c r="F27" s="76">
        <f t="array" ref="F27">SUM(IF(SUSENAS!$AB$11:$AB$256=$B27,SUSENAS!$AK$11:$AK$255,0))-SUSENAS!$AK$240/2</f>
        <v>2.3713307385462974</v>
      </c>
      <c r="G27" s="77">
        <f t="shared" si="6"/>
        <v>0.86553571956939857</v>
      </c>
      <c r="H27" s="76">
        <f t="array" ref="H27">SUM(IF(SUSENAS!$AB$11:$AB$256=$B27,SUSENAS!$AL$11:$AL$255,0))-SUSENAS!$AL$240/2</f>
        <v>26.03792655900941</v>
      </c>
      <c r="I27" s="76">
        <f t="array" ref="I27">SUM(IF(SUSENAS!$AB$11:$AB$256=$B27,SUSENAS!$AM$11:$AM$255,0))-SUSENAS!$AM$240/2</f>
        <v>1.612777021933838</v>
      </c>
      <c r="J27" s="76">
        <f t="array" ref="J27">SUM(IF(SUSENAS!$AB$11:$AB$256=$B27,SUSENAS!$AP$11:$AP$255,0))-SUSENAS!$AP$240/2</f>
        <v>8.6072617327702972</v>
      </c>
      <c r="K27" s="77">
        <f t="shared" si="7"/>
        <v>3.1416505324611586</v>
      </c>
      <c r="L27" s="76">
        <f t="array" ref="L27">SUM(IF(SUSENAS!$AB$11:$AB$256=$B27,SUSENAS!$AQ$11:$AQ$255,0))-SUSENAS!$AQ$240/2</f>
        <v>33.202298639277146</v>
      </c>
      <c r="M27" s="76">
        <f t="array" ref="M27">SUM(IF(SUSENAS!$AB$11:$AB$256=$B27,SUSENAS!$AR$11:$AR$255,0))-SUSENAS!$AR$240/2</f>
        <v>2.0474641195782577</v>
      </c>
      <c r="N27" s="76">
        <f t="array" ref="N27">SUM(IF(SUSENAS!$AB$11:$AB$256=$B27,SUSENAS!$AU$11:$AU$255,0))-SUSENAS!$AU$240/2</f>
        <v>10.978592471316595</v>
      </c>
      <c r="O27" s="77">
        <f t="shared" si="8"/>
        <v>4.0071862520305572</v>
      </c>
    </row>
    <row r="28" spans="2:15" ht="14.1" customHeight="1" outlineLevel="2" x14ac:dyDescent="0.2">
      <c r="B28" s="41">
        <v>11</v>
      </c>
      <c r="C28" s="37" t="s">
        <v>147</v>
      </c>
      <c r="D28" s="76">
        <f t="array" ref="D28">SUM(IF(SUSENAS!$AB$11:$AB$256=$B28,SUSENAS!$AG$11:$AG$255,0))</f>
        <v>48.162551970674372</v>
      </c>
      <c r="E28" s="76">
        <f t="array" ref="E28">SUM(IF(SUSENAS!$AB$11:$AB$256=$B28,SUSENAS!$AH$11:$AH$255,0))</f>
        <v>3.8721914493001393</v>
      </c>
      <c r="F28" s="76">
        <f t="array" ref="F28">SUM(IF(SUSENAS!$AB$11:$AB$256=$B28,SUSENAS!$AK$11:$AK$255,0))</f>
        <v>35.091478781032201</v>
      </c>
      <c r="G28" s="77">
        <f t="shared" si="6"/>
        <v>12.808389755076755</v>
      </c>
      <c r="H28" s="76">
        <f t="array" ref="H28">SUM(IF(SUSENAS!$AB$11:$AB$256=$B28,SUSENAS!$AL$11:$AL$255,0))</f>
        <v>236.82997804985013</v>
      </c>
      <c r="I28" s="76">
        <f t="array" ref="I28">SUM(IF(SUSENAS!$AB$11:$AB$256=$B28,SUSENAS!$AM$11:$AM$255,0))</f>
        <v>19.055542387261212</v>
      </c>
      <c r="J28" s="76">
        <f t="array" ref="J28">SUM(IF(SUSENAS!$AB$11:$AB$256=$B28,SUSENAS!$AP$11:$AP$255,0))</f>
        <v>172.76418197090268</v>
      </c>
      <c r="K28" s="77">
        <f t="shared" si="7"/>
        <v>63.058926419379482</v>
      </c>
      <c r="L28" s="76">
        <f t="array" ref="L28">SUM(IF(SUSENAS!$AB$11:$AB$256=$B28,SUSENAS!$AQ$11:$AQ$255,0))</f>
        <v>284.99253002052433</v>
      </c>
      <c r="M28" s="76">
        <f t="array" ref="M28">SUM(IF(SUSENAS!$AB$11:$AB$256=$B28,SUSENAS!$AR$11:$AR$255,0))</f>
        <v>22.927733836561345</v>
      </c>
      <c r="N28" s="76">
        <f t="array" ref="N28">SUM(IF(SUSENAS!$AB$11:$AB$256=$B28,SUSENAS!$AU$11:$AU$255,0))</f>
        <v>207.85566075193481</v>
      </c>
      <c r="O28" s="77">
        <f t="shared" si="8"/>
        <v>75.867316174456207</v>
      </c>
    </row>
    <row r="29" spans="2:15" ht="14.1" customHeight="1" outlineLevel="2" x14ac:dyDescent="0.2">
      <c r="B29" s="41">
        <v>12</v>
      </c>
      <c r="C29" s="37" t="s">
        <v>148</v>
      </c>
      <c r="D29" s="76">
        <f t="array" ref="D29">SUM(IF(SUSENAS!$AB$11:$AB$256=$B29,SUSENAS!$AG$11:$AG$255,0))</f>
        <v>3.357369826877235</v>
      </c>
      <c r="E29" s="331">
        <f t="array" ref="E29">SUM(IF(SUSENAS!$AB$11:$AB$256=$B29,SUSENAS!$AH$11:$AH$255,0))</f>
        <v>0.13539978227101515</v>
      </c>
      <c r="F29" s="331">
        <f t="array" ref="F29">SUM(IF(SUSENAS!$AB$11:$AB$256=$B29,SUSENAS!$AK$11:$AK$255,0))</f>
        <v>0.64021356699708576</v>
      </c>
      <c r="G29" s="332">
        <f t="shared" si="6"/>
        <v>0.23367795195393631</v>
      </c>
      <c r="H29" s="331">
        <f t="array" ref="H29">SUM(IF(SUSENAS!$AB$11:$AB$256=$B29,SUSENAS!$AL$11:$AL$255,0))</f>
        <v>10.430877871841217</v>
      </c>
      <c r="I29" s="331">
        <f t="array" ref="I29">SUM(IF(SUSENAS!$AB$11:$AB$256=$B29,SUSENAS!$AM$11:$AM$255,0))</f>
        <v>0.3775824986845302</v>
      </c>
      <c r="J29" s="331">
        <f t="array" ref="J29">SUM(IF(SUSENAS!$AB$11:$AB$256=$B29,SUSENAS!$AP$11:$AP$255,0))</f>
        <v>1.8503567529311145</v>
      </c>
      <c r="K29" s="332">
        <f t="shared" si="7"/>
        <v>0.67538021481985677</v>
      </c>
      <c r="L29" s="76">
        <f t="array" ref="L29">SUM(IF(SUSENAS!$AB$11:$AB$256=$B29,SUSENAS!$AQ$11:$AQ$255,0))</f>
        <v>13.788247698718452</v>
      </c>
      <c r="M29" s="76">
        <f t="array" ref="M29">SUM(IF(SUSENAS!$AB$11:$AB$256=$B29,SUSENAS!$AR$11:$AR$255,0))</f>
        <v>0.51298228095554521</v>
      </c>
      <c r="N29" s="76">
        <f t="array" ref="N29">SUM(IF(SUSENAS!$AB$11:$AB$256=$B29,SUSENAS!$AU$11:$AU$255,0))</f>
        <v>2.4905703199281999</v>
      </c>
      <c r="O29" s="77">
        <f t="shared" si="8"/>
        <v>0.90905816677379303</v>
      </c>
    </row>
    <row r="30" spans="2:15" ht="14.1" customHeight="1" outlineLevel="2" x14ac:dyDescent="0.2">
      <c r="B30" s="41">
        <v>13</v>
      </c>
      <c r="C30" s="37" t="s">
        <v>383</v>
      </c>
      <c r="D30" s="76">
        <f t="array" ref="D30">SUM(IF(SUSENAS!$AB$11:$AB$256=$B30,SUSENAS!$AG$11:$AG$255,0))</f>
        <v>7.4511596206351305</v>
      </c>
      <c r="E30" s="331">
        <f t="array" ref="E30">SUM(IF(SUSENAS!$AB$11:$AB$256=$B30,SUSENAS!$AH$11:$AH$255,0))</f>
        <v>1.1585086433489165</v>
      </c>
      <c r="F30" s="331">
        <f t="array" ref="F30">SUM(IF(SUSENAS!$AB$11:$AB$256=$B30,SUSENAS!$AK$11:$AK$255,0))</f>
        <v>7.6720731032296978</v>
      </c>
      <c r="G30" s="332">
        <f t="shared" si="6"/>
        <v>2.8003066826788396</v>
      </c>
      <c r="H30" s="331">
        <f t="array" ref="H30">SUM(IF(SUSENAS!$AB$11:$AB$256=$B30,SUSENAS!$AL$11:$AL$255,0))</f>
        <v>74.383105952769895</v>
      </c>
      <c r="I30" s="331">
        <f t="array" ref="I30">SUM(IF(SUSENAS!$AB$11:$AB$256=$B30,SUSENAS!$AM$11:$AM$255,0))</f>
        <v>11.371167278229358</v>
      </c>
      <c r="J30" s="331">
        <f t="array" ref="J30">SUM(IF(SUSENAS!$AB$11:$AB$256=$B30,SUSENAS!$AP$11:$AP$255,0))</f>
        <v>74.09174584021693</v>
      </c>
      <c r="K30" s="332">
        <f t="shared" si="7"/>
        <v>27.04348723167918</v>
      </c>
      <c r="L30" s="76">
        <f t="array" ref="L30">SUM(IF(SUSENAS!$AB$11:$AB$256=$B30,SUSENAS!$AQ$11:$AQ$255,0))</f>
        <v>81.83426557340502</v>
      </c>
      <c r="M30" s="76">
        <f t="array" ref="M30">SUM(IF(SUSENAS!$AB$11:$AB$256=$B30,SUSENAS!$AR$11:$AR$255,0))</f>
        <v>12.529675921578267</v>
      </c>
      <c r="N30" s="76">
        <f t="array" ref="N30">SUM(IF(SUSENAS!$AB$11:$AB$256=$B30,SUSENAS!$AU$11:$AU$255,0))</f>
        <v>81.763818943446609</v>
      </c>
      <c r="O30" s="77">
        <f t="shared" si="8"/>
        <v>29.843793914358013</v>
      </c>
    </row>
    <row r="31" spans="2:15" ht="14.1" customHeight="1" outlineLevel="1" x14ac:dyDescent="0.2">
      <c r="B31" s="49"/>
      <c r="C31" s="49" t="s">
        <v>149</v>
      </c>
      <c r="D31" s="80">
        <f>SUM(D$26:D$30)</f>
        <v>66.71186697989674</v>
      </c>
      <c r="E31" s="329">
        <f>SUM(E$26:E$30)</f>
        <v>5.652539399247452</v>
      </c>
      <c r="F31" s="329">
        <f>SUM(F$26:F$30)</f>
        <v>46.0356817955807</v>
      </c>
      <c r="G31" s="332">
        <f t="shared" si="6"/>
        <v>16.803023855386957</v>
      </c>
      <c r="H31" s="329">
        <f>SUM(H$26:H$30)</f>
        <v>350.0964064356653</v>
      </c>
      <c r="I31" s="329">
        <f>SUM(I$26:I$30)</f>
        <v>32.61071791551359</v>
      </c>
      <c r="J31" s="329">
        <f>SUM(J$26:J$30)</f>
        <v>258.13503925457292</v>
      </c>
      <c r="K31" s="332">
        <f t="shared" si="7"/>
        <v>94.219289327919114</v>
      </c>
      <c r="L31" s="80">
        <f>SUM(L$26:L$30)</f>
        <v>416.80827341556187</v>
      </c>
      <c r="M31" s="80">
        <f>SUM(M$26:M$30)</f>
        <v>38.263257314761027</v>
      </c>
      <c r="N31" s="80">
        <f>SUM(N$26:N$30)</f>
        <v>304.17072105015347</v>
      </c>
      <c r="O31" s="77">
        <f t="shared" si="8"/>
        <v>111.02231318330601</v>
      </c>
    </row>
    <row r="32" spans="2:15" ht="14.1" customHeight="1" outlineLevel="2" x14ac:dyDescent="0.2">
      <c r="B32" s="37"/>
      <c r="C32" s="50" t="s">
        <v>188</v>
      </c>
      <c r="D32" s="82"/>
      <c r="E32" s="82"/>
      <c r="F32" s="82"/>
      <c r="G32" s="52"/>
      <c r="H32" s="82"/>
      <c r="I32" s="82"/>
      <c r="J32" s="82"/>
      <c r="K32" s="52"/>
      <c r="L32" s="82"/>
      <c r="M32" s="82"/>
      <c r="N32" s="82"/>
      <c r="O32" s="52"/>
    </row>
    <row r="33" spans="2:15" ht="14.1" customHeight="1" outlineLevel="2" x14ac:dyDescent="0.2">
      <c r="B33" s="41">
        <v>14</v>
      </c>
      <c r="C33" s="37" t="s">
        <v>150</v>
      </c>
      <c r="D33" s="76">
        <f t="array" ref="D33">SUM(IF(SUSENAS!$AB$11:$AB$256=$B33,SUSENAS!$AG$11:$AG$255,0))</f>
        <v>0.25516913099141852</v>
      </c>
      <c r="E33" s="76">
        <f t="array" ref="E33">SUM(IF(SUSENAS!$AB$11:$AB$256=$B33,SUSENAS!$AH$11:$AH$255,0))</f>
        <v>2.9329785171427412E-4</v>
      </c>
      <c r="F33" s="76">
        <f t="array" ref="F33">SUM(IF(SUSENAS!$AB$11:$AB$256=$B33,SUSENAS!$AK$11:$AK$255,0))</f>
        <v>2.9329785171427415E-2</v>
      </c>
      <c r="G33" s="77">
        <f t="shared" ref="G33:G36" si="9">F33*365/1000</f>
        <v>1.0705371587571006E-2</v>
      </c>
      <c r="H33" s="76">
        <f t="array" ref="H33">SUM(IF(SUSENAS!$AB$11:$AB$256=$B33,SUSENAS!$AL$11:$AL$255,0))</f>
        <v>1.6965721333283932</v>
      </c>
      <c r="I33" s="76">
        <f t="array" ref="I33">SUM(IF(SUSENAS!$AB$11:$AB$256=$B33,SUSENAS!$AM$11:$AM$255,0))</f>
        <v>1.9500829118717163E-3</v>
      </c>
      <c r="J33" s="76">
        <f t="array" ref="J33">SUM(IF(SUSENAS!$AB$11:$AB$256=$B33,SUSENAS!$AP$11:$AP$255,0))</f>
        <v>0.19500829118717164</v>
      </c>
      <c r="K33" s="77">
        <f t="shared" ref="K33:K36" si="10">J33*365/1000</f>
        <v>7.1178026283317652E-2</v>
      </c>
      <c r="L33" s="76">
        <f t="array" ref="L33">SUM(IF(SUSENAS!$AB$11:$AB$256=$B33,SUSENAS!$AQ$11:$AQ$255,0))</f>
        <v>1.9517412643198118</v>
      </c>
      <c r="M33" s="76">
        <f t="array" ref="M33">SUM(IF(SUSENAS!$AB$11:$AB$256=$B33,SUSENAS!$AR$11:$AR$255,0))</f>
        <v>2.2433807635859906E-3</v>
      </c>
      <c r="N33" s="76">
        <f t="array" ref="N33">SUM(IF(SUSENAS!$AB$11:$AB$256=$B33,SUSENAS!$AU$11:$AU$255,0))</f>
        <v>0.22433807635859909</v>
      </c>
      <c r="O33" s="77">
        <f t="shared" ref="O33:O36" si="11">N33*365/1000</f>
        <v>8.1883397870888677E-2</v>
      </c>
    </row>
    <row r="34" spans="2:15" ht="14.1" customHeight="1" outlineLevel="2" x14ac:dyDescent="0.2">
      <c r="B34" s="41">
        <v>15</v>
      </c>
      <c r="C34" s="37" t="s">
        <v>385</v>
      </c>
      <c r="D34" s="76">
        <f t="array" ref="D34">SUM(IF(SUSENAS!$AB$11:$AB$256=$B34,SUSENAS!$AG$11:$AG$255,0))</f>
        <v>35.950950685197164</v>
      </c>
      <c r="E34" s="76">
        <f t="array" ref="E34">SUM(IF(SUSENAS!$AB$11:$AB$256=$B34,SUSENAS!$AH$11:$AH$255,0))</f>
        <v>0</v>
      </c>
      <c r="F34" s="76">
        <f t="array" ref="F34">SUM(IF(SUSENAS!$AB$11:$AB$256=$B34,SUSENAS!$AK$11:$AK$255,0))</f>
        <v>3.9856929806205277</v>
      </c>
      <c r="G34" s="77">
        <f t="shared" si="9"/>
        <v>1.4547779379264925</v>
      </c>
      <c r="H34" s="76">
        <f t="array" ref="H34">SUM(IF(SUSENAS!$AB$11:$AB$256=$B34,SUSENAS!$AL$11:$AL$255,0))</f>
        <v>276.91244460379812</v>
      </c>
      <c r="I34" s="76">
        <f t="array" ref="I34">SUM(IF(SUSENAS!$AB$11:$AB$256=$B34,SUSENAS!$AM$11:$AM$255,0))</f>
        <v>0</v>
      </c>
      <c r="J34" s="76">
        <f t="array" ref="J34">SUM(IF(SUSENAS!$AB$11:$AB$256=$B34,SUSENAS!$AP$11:$AP$255,0))</f>
        <v>30.699827561396688</v>
      </c>
      <c r="K34" s="77">
        <f t="shared" si="10"/>
        <v>11.205437059909791</v>
      </c>
      <c r="L34" s="76">
        <f t="array" ref="L34">SUM(IF(SUSENAS!$AB$11:$AB$256=$B34,SUSENAS!$AQ$11:$AQ$255,0))</f>
        <v>312.86339528899509</v>
      </c>
      <c r="M34" s="76">
        <f t="array" ref="M34">SUM(IF(SUSENAS!$AB$11:$AB$256=$B34,SUSENAS!$AR$11:$AR$255,0))</f>
        <v>0</v>
      </c>
      <c r="N34" s="76">
        <f t="array" ref="N34">SUM(IF(SUSENAS!$AB$11:$AB$256=$B34,SUSENAS!$AU$11:$AU$255,0))</f>
        <v>34.685520542017194</v>
      </c>
      <c r="O34" s="77">
        <f t="shared" si="11"/>
        <v>12.660214997836276</v>
      </c>
    </row>
    <row r="35" spans="2:15" ht="14.1" customHeight="1" outlineLevel="2" x14ac:dyDescent="0.2">
      <c r="B35" s="41">
        <v>16</v>
      </c>
      <c r="C35" s="37" t="s">
        <v>386</v>
      </c>
      <c r="D35" s="76">
        <f t="array" ref="D35">SUM(IF(SUSENAS!$AB$11:$AB$256=$B35,SUSENAS!$AG$11:$AG$255,0))</f>
        <v>0</v>
      </c>
      <c r="E35" s="76">
        <f t="array" ref="E35">SUM(IF(SUSENAS!$AB$11:$AB$256=$B35,SUSENAS!$AH$11:$AH$255,0))</f>
        <v>0</v>
      </c>
      <c r="F35" s="76">
        <f t="array" ref="F35">SUM(IF(SUSENAS!$AB$11:$AB$256=$B35,SUSENAS!$AK$11:$AK$255,0))</f>
        <v>0</v>
      </c>
      <c r="G35" s="77">
        <f t="shared" si="9"/>
        <v>0</v>
      </c>
      <c r="H35" s="76">
        <f t="array" ref="H35">SUM(IF(SUSENAS!$AB$11:$AB$256=$B35,SUSENAS!$AL$11:$AL$255,0))</f>
        <v>0</v>
      </c>
      <c r="I35" s="76">
        <f t="array" ref="I35">SUM(IF(SUSENAS!$AB$11:$AB$256=$B35,SUSENAS!$AM$11:$AM$255,0))</f>
        <v>0</v>
      </c>
      <c r="J35" s="76">
        <f t="array" ref="J35">SUM(IF(SUSENAS!$AB$11:$AB$256=$B35,SUSENAS!$AP$11:$AP$255,0))</f>
        <v>0</v>
      </c>
      <c r="K35" s="77">
        <f t="shared" si="10"/>
        <v>0</v>
      </c>
      <c r="L35" s="76">
        <f t="array" ref="L35">SUM(IF(SUSENAS!$AB$11:$AB$256=$B35,SUSENAS!$AQ$11:$AQ$255,0))</f>
        <v>0</v>
      </c>
      <c r="M35" s="76">
        <f t="array" ref="M35">SUM(IF(SUSENAS!$AB$11:$AB$256=$B35,SUSENAS!$AR$11:$AR$255,0))</f>
        <v>0</v>
      </c>
      <c r="N35" s="76">
        <f t="array" ref="N35">SUM(IF(SUSENAS!$AB$11:$AB$256=$B35,SUSENAS!$AU$11:$AU$255,0))</f>
        <v>0</v>
      </c>
      <c r="O35" s="77">
        <f t="shared" si="11"/>
        <v>0</v>
      </c>
    </row>
    <row r="36" spans="2:15" ht="14.1" customHeight="1" outlineLevel="1" x14ac:dyDescent="0.2">
      <c r="B36" s="49"/>
      <c r="C36" s="49" t="s">
        <v>151</v>
      </c>
      <c r="D36" s="80">
        <f>SUM(D$33:D$35)</f>
        <v>36.206119816188583</v>
      </c>
      <c r="E36" s="80">
        <f>SUM(E$33:E$35)</f>
        <v>2.9329785171427412E-4</v>
      </c>
      <c r="F36" s="80">
        <f>SUM(F$33:F$35)</f>
        <v>4.0150227657919553</v>
      </c>
      <c r="G36" s="77">
        <f t="shared" si="9"/>
        <v>1.4654833095140636</v>
      </c>
      <c r="H36" s="80">
        <f>SUM(H$33:H$35)</f>
        <v>278.60901673712652</v>
      </c>
      <c r="I36" s="80">
        <f>SUM(I$33:I$35)</f>
        <v>1.9500829118717163E-3</v>
      </c>
      <c r="J36" s="80">
        <f>SUM(J$33:J$35)</f>
        <v>30.89483585258386</v>
      </c>
      <c r="K36" s="77">
        <f t="shared" si="10"/>
        <v>11.276615086193109</v>
      </c>
      <c r="L36" s="80">
        <f>SUM(L$33:L$35)</f>
        <v>314.81513655331491</v>
      </c>
      <c r="M36" s="80">
        <f>SUM(M$33:M$35)</f>
        <v>2.2433807635859906E-3</v>
      </c>
      <c r="N36" s="80">
        <f>SUM(N$33:N$35)</f>
        <v>34.909858618375793</v>
      </c>
      <c r="O36" s="77">
        <f t="shared" si="11"/>
        <v>12.742098395707163</v>
      </c>
    </row>
    <row r="37" spans="2:15" ht="14.1" customHeight="1" outlineLevel="2" x14ac:dyDescent="0.2">
      <c r="B37" s="37"/>
      <c r="C37" s="50" t="s">
        <v>190</v>
      </c>
      <c r="D37" s="82"/>
      <c r="E37" s="82"/>
      <c r="F37" s="82"/>
      <c r="G37" s="52"/>
      <c r="H37" s="82"/>
      <c r="I37" s="82"/>
      <c r="J37" s="82"/>
      <c r="K37" s="52"/>
      <c r="L37" s="82"/>
      <c r="M37" s="82"/>
      <c r="N37" s="82"/>
      <c r="O37" s="52"/>
    </row>
    <row r="38" spans="2:15" ht="14.1" customHeight="1" outlineLevel="2" x14ac:dyDescent="0.2">
      <c r="B38" s="41">
        <v>17</v>
      </c>
      <c r="C38" s="37" t="s">
        <v>152</v>
      </c>
      <c r="D38" s="76">
        <f t="array" ref="D38">SUM(IF(SUSENAS!$AB$11:$AB$256=$B38,SUSENAS!$AG$11:$AG$255,0))</f>
        <v>7.2131594491060431</v>
      </c>
      <c r="E38" s="76">
        <f t="array" ref="E38">SUM(IF(SUSENAS!$AB$11:$AB$256=$B38,SUSENAS!$AH$11:$AH$255,0))</f>
        <v>6.8323824059297225E-2</v>
      </c>
      <c r="F38" s="76">
        <f t="array" ref="F38">SUM(IF(SUSENAS!$AB$11:$AB$256=$B38,SUSENAS!$AK$11:$AK$255,0))</f>
        <v>1.3502732027529096</v>
      </c>
      <c r="G38" s="77">
        <f t="shared" ref="G38:G40" si="12">F38*365/1000</f>
        <v>0.492849719004812</v>
      </c>
      <c r="H38" s="76">
        <f t="array" ref="H38">SUM(IF(SUSENAS!$AB$11:$AB$256=$B38,SUSENAS!$AL$11:$AL$255,0))</f>
        <v>146.08216611565626</v>
      </c>
      <c r="I38" s="76">
        <f t="array" ref="I38">SUM(IF(SUSENAS!$AB$11:$AB$256=$B38,SUSENAS!$AM$11:$AM$255,0))</f>
        <v>1.3837060287256098</v>
      </c>
      <c r="J38" s="76">
        <f t="array" ref="J38">SUM(IF(SUSENAS!$AB$11:$AB$256=$B38,SUSENAS!$AP$11:$AP$255,0))</f>
        <v>27.345968947146435</v>
      </c>
      <c r="K38" s="77">
        <f t="shared" ref="K38:K40" si="13">J38*365/1000</f>
        <v>9.981278665708448</v>
      </c>
      <c r="L38" s="76">
        <f t="array" ref="L38">SUM(IF(SUSENAS!$AB$11:$AB$256=$B38,SUSENAS!$AQ$11:$AQ$255,0))</f>
        <v>153.29532556476221</v>
      </c>
      <c r="M38" s="76">
        <f t="array" ref="M38">SUM(IF(SUSENAS!$AB$11:$AB$256=$B38,SUSENAS!$AR$11:$AR$255,0))</f>
        <v>1.4520298527849058</v>
      </c>
      <c r="N38" s="76">
        <f t="array" ref="N38">SUM(IF(SUSENAS!$AB$11:$AB$256=$B38,SUSENAS!$AU$11:$AU$255,0))</f>
        <v>28.696242149899327</v>
      </c>
      <c r="O38" s="77">
        <f t="shared" ref="O38:O40" si="14">N38*365/1000</f>
        <v>10.474128384713255</v>
      </c>
    </row>
    <row r="39" spans="2:15" ht="14.1" customHeight="1" outlineLevel="2" x14ac:dyDescent="0.2">
      <c r="B39" s="41">
        <v>18</v>
      </c>
      <c r="C39" s="37" t="s">
        <v>153</v>
      </c>
      <c r="D39" s="76">
        <f t="array" ref="D39">SUM(IF(SUSENAS!$AB$11:$AB$256=$B39,SUSENAS!$AG$11:$AG$255,0))</f>
        <v>5.8766097982264194</v>
      </c>
      <c r="E39" s="76">
        <f t="array" ref="E39">SUM(IF(SUSENAS!$AB$11:$AB$256=$B39,SUSENAS!$AH$11:$AH$255,0))</f>
        <v>0.17555909774575784</v>
      </c>
      <c r="F39" s="76">
        <f t="array" ref="F39">SUM(IF(SUSENAS!$AB$11:$AB$256=$B39,SUSENAS!$AK$11:$AK$255,0))</f>
        <v>0.92399525129346216</v>
      </c>
      <c r="G39" s="77">
        <f t="shared" si="12"/>
        <v>0.33725826672211373</v>
      </c>
      <c r="H39" s="76">
        <f t="array" ref="H39">SUM(IF(SUSENAS!$AB$11:$AB$256=$B39,SUSENAS!$AL$11:$AL$255,0))</f>
        <v>16.879281286465933</v>
      </c>
      <c r="I39" s="76">
        <f t="array" ref="I39">SUM(IF(SUSENAS!$AB$11:$AB$256=$B39,SUSENAS!$AM$11:$AM$255,0))</f>
        <v>0.50425525855794462</v>
      </c>
      <c r="J39" s="76">
        <f t="array" ref="J39">SUM(IF(SUSENAS!$AB$11:$AB$256=$B39,SUSENAS!$AP$11:$AP$255,0))</f>
        <v>2.6539750450418134</v>
      </c>
      <c r="K39" s="77">
        <f t="shared" si="13"/>
        <v>0.96870089144026195</v>
      </c>
      <c r="L39" s="76">
        <f t="array" ref="L39">SUM(IF(SUSENAS!$AB$11:$AB$256=$B39,SUSENAS!$AQ$11:$AQ$255,0))</f>
        <v>22.755891084692355</v>
      </c>
      <c r="M39" s="76">
        <f t="array" ref="M39">SUM(IF(SUSENAS!$AB$11:$AB$256=$B39,SUSENAS!$AR$11:$AR$255,0))</f>
        <v>0.67981435630370246</v>
      </c>
      <c r="N39" s="76">
        <f t="array" ref="N39">SUM(IF(SUSENAS!$AB$11:$AB$256=$B39,SUSENAS!$AU$11:$AU$255,0))</f>
        <v>3.577970296335276</v>
      </c>
      <c r="O39" s="77">
        <f t="shared" si="14"/>
        <v>1.3059591581623755</v>
      </c>
    </row>
    <row r="40" spans="2:15" ht="14.1" customHeight="1" outlineLevel="1" x14ac:dyDescent="0.2">
      <c r="B40" s="49"/>
      <c r="C40" s="49" t="s">
        <v>154</v>
      </c>
      <c r="D40" s="80">
        <f>SUM(D$38:D$39)</f>
        <v>13.089769247332462</v>
      </c>
      <c r="E40" s="80">
        <f>SUM(E$38:E$39)</f>
        <v>0.24388292180505505</v>
      </c>
      <c r="F40" s="80">
        <f>SUM(F$38:F$39)</f>
        <v>2.2742684540463718</v>
      </c>
      <c r="G40" s="77">
        <f t="shared" si="12"/>
        <v>0.83010798572692568</v>
      </c>
      <c r="H40" s="80">
        <f>SUM(H$38:H$39)</f>
        <v>162.96144740212219</v>
      </c>
      <c r="I40" s="80">
        <f>SUM(I$38:I$39)</f>
        <v>1.8879612872835545</v>
      </c>
      <c r="J40" s="80">
        <f>SUM(J$38:J$39)</f>
        <v>29.99994399218825</v>
      </c>
      <c r="K40" s="77">
        <f t="shared" si="13"/>
        <v>10.949979557148712</v>
      </c>
      <c r="L40" s="80">
        <f>SUM(L$38:L$39)</f>
        <v>176.05121664945457</v>
      </c>
      <c r="M40" s="80">
        <f>SUM(M$38:M$39)</f>
        <v>2.1318442090886083</v>
      </c>
      <c r="N40" s="80">
        <f>SUM(N$38:N$39)</f>
        <v>32.2742124462346</v>
      </c>
      <c r="O40" s="77">
        <f t="shared" si="14"/>
        <v>11.780087542875629</v>
      </c>
    </row>
    <row r="41" spans="2:15" ht="14.1" customHeight="1" outlineLevel="2" x14ac:dyDescent="0.2">
      <c r="B41" s="37"/>
      <c r="C41" s="50" t="s">
        <v>191</v>
      </c>
      <c r="D41" s="82"/>
      <c r="E41" s="82"/>
      <c r="F41" s="82"/>
      <c r="G41" s="52"/>
      <c r="H41" s="82"/>
      <c r="I41" s="82"/>
      <c r="J41" s="82"/>
      <c r="K41" s="52"/>
      <c r="L41" s="82"/>
      <c r="M41" s="82"/>
      <c r="N41" s="82"/>
      <c r="O41" s="52"/>
    </row>
    <row r="42" spans="2:15" ht="14.1" customHeight="1" outlineLevel="2" x14ac:dyDescent="0.2">
      <c r="B42" s="41">
        <v>19</v>
      </c>
      <c r="C42" s="37" t="s">
        <v>156</v>
      </c>
      <c r="D42" s="76">
        <f t="array" ref="D42">SUM(IF(SUSENAS!$AB$11:$AB$256=$B42,SUSENAS!$AG$11:$AG$255,0))</f>
        <v>4.0561336081122743</v>
      </c>
      <c r="E42" s="76">
        <f t="array" ref="E42">SUM(IF(SUSENAS!$AB$11:$AB$256=$B42,SUSENAS!$AH$11:$AH$255,0))</f>
        <v>0.43663903610579213</v>
      </c>
      <c r="F42" s="76">
        <f t="array" ref="F42">SUM(IF(SUSENAS!$AB$11:$AB$256=$B42,SUSENAS!$AK$11:$AK$255,0))</f>
        <v>1.8323781427715362</v>
      </c>
      <c r="G42" s="77">
        <f t="shared" ref="G42:G46" si="15">F42*365/1000</f>
        <v>0.66881802211161068</v>
      </c>
      <c r="H42" s="76">
        <f t="array" ref="H42">SUM(IF(SUSENAS!$AB$11:$AB$256=$B42,SUSENAS!$AL$11:$AL$255,0))</f>
        <v>23.613298466756451</v>
      </c>
      <c r="I42" s="76">
        <f t="array" ref="I42">SUM(IF(SUSENAS!$AB$11:$AB$256=$B42,SUSENAS!$AM$11:$AM$255,0))</f>
        <v>2.6179063170110863</v>
      </c>
      <c r="J42" s="76">
        <f t="array" ref="J42">SUM(IF(SUSENAS!$AB$11:$AB$256=$B42,SUSENAS!$AP$11:$AP$255,0))</f>
        <v>10.11733098357587</v>
      </c>
      <c r="K42" s="77">
        <f t="shared" ref="K42:K46" si="16">J42*365/1000</f>
        <v>3.6928258090051926</v>
      </c>
      <c r="L42" s="76">
        <f t="array" ref="L42">SUM(IF(SUSENAS!$AB$11:$AB$256=$B42,SUSENAS!$AQ$11:$AQ$255,0))</f>
        <v>27.669432074868723</v>
      </c>
      <c r="M42" s="76">
        <f t="array" ref="M42">SUM(IF(SUSENAS!$AB$11:$AB$256=$B42,SUSENAS!$AR$11:$AR$255,0))</f>
        <v>3.0545453531168789</v>
      </c>
      <c r="N42" s="76">
        <f t="array" ref="N42">SUM(IF(SUSENAS!$AB$11:$AB$256=$B42,SUSENAS!$AU$11:$AU$255,0))</f>
        <v>11.949709126347409</v>
      </c>
      <c r="O42" s="77">
        <f t="shared" ref="O42:O46" si="17">N42*365/1000</f>
        <v>4.3616438311168038</v>
      </c>
    </row>
    <row r="43" spans="2:15" ht="14.1" customHeight="1" outlineLevel="2" x14ac:dyDescent="0.2">
      <c r="B43" s="41">
        <v>20</v>
      </c>
      <c r="C43" s="37" t="s">
        <v>155</v>
      </c>
      <c r="D43" s="76">
        <f t="array" ref="D43">SUM(IF(SUSENAS!$AB$11:$AB$256=$B43,SUSENAS!$AG$11:$AG$255,0))</f>
        <v>3.460216591148807E-2</v>
      </c>
      <c r="E43" s="76">
        <f t="array" ref="E43">SUM(IF(SUSENAS!$AB$11:$AB$256=$B43,SUSENAS!$AH$11:$AH$255,0))</f>
        <v>1.9368026494704603E-3</v>
      </c>
      <c r="F43" s="76">
        <f t="array" ref="F43">SUM(IF(SUSENAS!$AB$11:$AB$256=$B43,SUSENAS!$AK$11:$AK$255,0))</f>
        <v>7.6553464405947043E-3</v>
      </c>
      <c r="G43" s="77">
        <f t="shared" si="15"/>
        <v>2.7942014508170669E-3</v>
      </c>
      <c r="H43" s="76">
        <f t="array" ref="H43">SUM(IF(SUSENAS!$AB$11:$AB$256=$B43,SUSENAS!$AL$11:$AL$255,0))</f>
        <v>2.0928587882211893</v>
      </c>
      <c r="I43" s="76">
        <f t="array" ref="I43">SUM(IF(SUSENAS!$AB$11:$AB$256=$B43,SUSENAS!$AM$11:$AM$255,0))</f>
        <v>0.11714452951769047</v>
      </c>
      <c r="J43" s="76">
        <f t="array" ref="J43">SUM(IF(SUSENAS!$AB$11:$AB$256=$B43,SUSENAS!$AP$11:$AP$255,0))</f>
        <v>0.46302185580114807</v>
      </c>
      <c r="K43" s="77">
        <f t="shared" si="16"/>
        <v>0.16900297736741904</v>
      </c>
      <c r="L43" s="76">
        <f t="array" ref="L43">SUM(IF(SUSENAS!$AB$11:$AB$256=$B43,SUSENAS!$AQ$11:$AQ$255,0))</f>
        <v>2.1274609541326774</v>
      </c>
      <c r="M43" s="76">
        <f t="array" ref="M43">SUM(IF(SUSENAS!$AB$11:$AB$256=$B43,SUSENAS!$AR$11:$AR$255,0))</f>
        <v>0.11908133216716094</v>
      </c>
      <c r="N43" s="76">
        <f t="array" ref="N43">SUM(IF(SUSENAS!$AB$11:$AB$256=$B43,SUSENAS!$AU$11:$AU$255,0))</f>
        <v>0.47067720224174286</v>
      </c>
      <c r="O43" s="77">
        <f t="shared" si="17"/>
        <v>0.17179717881823614</v>
      </c>
    </row>
    <row r="44" spans="2:15" ht="14.1" customHeight="1" outlineLevel="2" x14ac:dyDescent="0.2">
      <c r="B44" s="41">
        <v>21</v>
      </c>
      <c r="C44" s="37" t="s">
        <v>157</v>
      </c>
      <c r="D44" s="76">
        <f t="array" ref="D44">SUM(IF(SUSENAS!$AB$11:$AB$256=$B44,SUSENAS!$AG$11:$AG$255,0))</f>
        <v>0</v>
      </c>
      <c r="E44" s="76">
        <f t="array" ref="E44">SUM(IF(SUSENAS!$AB$11:$AB$256=$B44,SUSENAS!$AH$11:$AH$255,0))</f>
        <v>0</v>
      </c>
      <c r="F44" s="76">
        <f t="array" ref="F44">SUM(IF(SUSENAS!$AB$11:$AB$256=$B44,SUSENAS!$AK$11:$AK$255,0))</f>
        <v>0</v>
      </c>
      <c r="G44" s="77">
        <f t="shared" si="15"/>
        <v>0</v>
      </c>
      <c r="H44" s="76">
        <f t="array" ref="H44">SUM(IF(SUSENAS!$AB$11:$AB$256=$B44,SUSENAS!$AL$11:$AL$255,0))</f>
        <v>0</v>
      </c>
      <c r="I44" s="76">
        <f t="array" ref="I44">SUM(IF(SUSENAS!$AB$11:$AB$256=$B44,SUSENAS!$AM$11:$AM$255,0))</f>
        <v>0</v>
      </c>
      <c r="J44" s="76">
        <f t="array" ref="J44">SUM(IF(SUSENAS!$AB$11:$AB$256=$B44,SUSENAS!$AP$11:$AP$255,0))</f>
        <v>0</v>
      </c>
      <c r="K44" s="77">
        <f t="shared" si="16"/>
        <v>0</v>
      </c>
      <c r="L44" s="76">
        <f t="array" ref="L44">SUM(IF(SUSENAS!$AB$11:$AB$256=$B44,SUSENAS!$AQ$11:$AQ$255,0))</f>
        <v>0</v>
      </c>
      <c r="M44" s="76">
        <f t="array" ref="M44">SUM(IF(SUSENAS!$AB$11:$AB$256=$B44,SUSENAS!$AR$11:$AR$255,0))</f>
        <v>0</v>
      </c>
      <c r="N44" s="76">
        <f t="array" ref="N44">SUM(IF(SUSENAS!$AB$11:$AB$256=$B44,SUSENAS!$AU$11:$AU$255,0))</f>
        <v>0</v>
      </c>
      <c r="O44" s="77">
        <f t="shared" si="17"/>
        <v>0</v>
      </c>
    </row>
    <row r="45" spans="2:15" ht="14.1" customHeight="1" outlineLevel="2" x14ac:dyDescent="0.2">
      <c r="B45" s="41">
        <v>22</v>
      </c>
      <c r="C45" s="37" t="s">
        <v>158</v>
      </c>
      <c r="D45" s="76">
        <f t="array" ref="D45">SUM(IF(SUSENAS!$AB$11:$AB$256=$B45,SUSENAS!$AG$11:$AG$255,0))</f>
        <v>0</v>
      </c>
      <c r="E45" s="76">
        <f t="array" ref="E45">SUM(IF(SUSENAS!$AB$11:$AB$256=$B45,SUSENAS!$AH$11:$AH$255,0))</f>
        <v>0</v>
      </c>
      <c r="F45" s="76">
        <f t="array" ref="F45">SUM(IF(SUSENAS!$AB$11:$AB$256=$B45,SUSENAS!$AK$11:$AK$255,0))</f>
        <v>0</v>
      </c>
      <c r="G45" s="77">
        <f t="shared" si="15"/>
        <v>0</v>
      </c>
      <c r="H45" s="76">
        <f t="array" ref="H45">SUM(IF(SUSENAS!$AB$11:$AB$256=$B45,SUSENAS!$AL$11:$AL$255,0))</f>
        <v>0</v>
      </c>
      <c r="I45" s="76">
        <f t="array" ref="I45">SUM(IF(SUSENAS!$AB$11:$AB$256=$B45,SUSENAS!$AM$11:$AM$255,0))</f>
        <v>0</v>
      </c>
      <c r="J45" s="76">
        <f t="array" ref="J45">SUM(IF(SUSENAS!$AB$11:$AB$256=$B45,SUSENAS!$AP$11:$AP$255,0))</f>
        <v>0</v>
      </c>
      <c r="K45" s="77">
        <f t="shared" si="16"/>
        <v>0</v>
      </c>
      <c r="L45" s="76">
        <f t="array" ref="L45">SUM(IF(SUSENAS!$AB$11:$AB$256=$B45,SUSENAS!$AQ$11:$AQ$255,0))</f>
        <v>0</v>
      </c>
      <c r="M45" s="76">
        <f t="array" ref="M45">SUM(IF(SUSENAS!$AB$11:$AB$256=$B45,SUSENAS!$AR$11:$AR$255,0))</f>
        <v>0</v>
      </c>
      <c r="N45" s="76">
        <f t="array" ref="N45">SUM(IF(SUSENAS!$AB$11:$AB$256=$B45,SUSENAS!$AU$11:$AU$255,0))</f>
        <v>0</v>
      </c>
      <c r="O45" s="77">
        <f t="shared" si="17"/>
        <v>0</v>
      </c>
    </row>
    <row r="46" spans="2:15" ht="14.1" customHeight="1" outlineLevel="1" x14ac:dyDescent="0.2">
      <c r="B46" s="49"/>
      <c r="C46" s="49" t="s">
        <v>159</v>
      </c>
      <c r="D46" s="80">
        <f>SUM(D$42:D$45)</f>
        <v>4.090735774023762</v>
      </c>
      <c r="E46" s="80">
        <f>SUM(E$42:E$45)</f>
        <v>0.43857583875526257</v>
      </c>
      <c r="F46" s="80">
        <f>SUM(F$42:F$45)</f>
        <v>1.8400334892121308</v>
      </c>
      <c r="G46" s="77">
        <f t="shared" si="15"/>
        <v>0.67161222356242778</v>
      </c>
      <c r="H46" s="80">
        <f>SUM(H$42:H$45)</f>
        <v>25.70615725497764</v>
      </c>
      <c r="I46" s="80">
        <f>SUM(I$42:I$45)</f>
        <v>2.7350508465287766</v>
      </c>
      <c r="J46" s="80">
        <f>SUM(J$42:J$45)</f>
        <v>10.580352839377019</v>
      </c>
      <c r="K46" s="77">
        <f t="shared" si="16"/>
        <v>3.861828786372612</v>
      </c>
      <c r="L46" s="80">
        <f>SUM(L$42:L$45)</f>
        <v>29.796893029001399</v>
      </c>
      <c r="M46" s="80">
        <f>SUM(M$42:M$45)</f>
        <v>3.1736266852840398</v>
      </c>
      <c r="N46" s="80">
        <f>SUM(N$42:N$45)</f>
        <v>12.420386328589153</v>
      </c>
      <c r="O46" s="77">
        <f t="shared" si="17"/>
        <v>4.5334410099350411</v>
      </c>
    </row>
    <row r="47" spans="2:15" ht="14.1" customHeight="1" outlineLevel="2" x14ac:dyDescent="0.2">
      <c r="B47" s="37"/>
      <c r="C47" s="38" t="s">
        <v>205</v>
      </c>
      <c r="D47" s="82"/>
      <c r="E47" s="82"/>
      <c r="F47" s="82"/>
      <c r="G47" s="52"/>
      <c r="H47" s="82"/>
      <c r="I47" s="82"/>
      <c r="J47" s="82"/>
      <c r="K47" s="52"/>
      <c r="L47" s="82"/>
      <c r="M47" s="82"/>
      <c r="N47" s="82"/>
      <c r="O47" s="52"/>
    </row>
    <row r="48" spans="2:15" ht="14.1" customHeight="1" outlineLevel="2" x14ac:dyDescent="0.2">
      <c r="B48" s="41">
        <v>23</v>
      </c>
      <c r="C48" s="37" t="s">
        <v>160</v>
      </c>
      <c r="D48" s="76">
        <f t="array" ref="D48">SUM(IF(SUSENAS!$AB$11:$AB$256=$B48,SUSENAS!$AG$11:$AG$255,0))</f>
        <v>11.66793705777501</v>
      </c>
      <c r="E48" s="76">
        <f t="array" ref="E48">SUM(IF(SUSENAS!$AB$11:$AB$256=$B48,SUSENAS!$AH$11:$AH$255,0))</f>
        <v>0</v>
      </c>
      <c r="F48" s="76">
        <f t="array" ref="F48">SUM(IF(SUSENAS!$AB$11:$AB$256=$B48,SUSENAS!$AK$11:$AK$255,0))</f>
        <v>3.2054772136744534</v>
      </c>
      <c r="G48" s="77">
        <f t="shared" ref="G48:G50" si="18">F48*365/1000</f>
        <v>1.1699991829911756</v>
      </c>
      <c r="H48" s="76">
        <f t="array" ref="H48">SUM(IF(SUSENAS!$AB$11:$AB$256=$B48,SUSENAS!$AL$11:$AL$255,0))</f>
        <v>93.168545911452412</v>
      </c>
      <c r="I48" s="76">
        <f t="array" ref="I48">SUM(IF(SUSENAS!$AB$11:$AB$256=$B48,SUSENAS!$AM$11:$AM$255,0))</f>
        <v>0</v>
      </c>
      <c r="J48" s="76">
        <f t="array" ref="J48">SUM(IF(SUSENAS!$AB$11:$AB$256=$B48,SUSENAS!$AP$11:$AP$255,0))</f>
        <v>25.595754371278133</v>
      </c>
      <c r="K48" s="77">
        <f t="shared" ref="K48:K50" si="19">J48*365/1000</f>
        <v>9.342450345516518</v>
      </c>
      <c r="L48" s="76">
        <f t="array" ref="L48">SUM(IF(SUSENAS!$AB$11:$AB$256=$B48,SUSENAS!$AQ$11:$AQ$255,0))</f>
        <v>104.83648296922739</v>
      </c>
      <c r="M48" s="76">
        <f t="array" ref="M48">SUM(IF(SUSENAS!$AB$11:$AB$256=$B48,SUSENAS!$AR$11:$AR$255,0))</f>
        <v>0</v>
      </c>
      <c r="N48" s="76">
        <f t="array" ref="N48">SUM(IF(SUSENAS!$AB$11:$AB$256=$B48,SUSENAS!$AU$11:$AU$255,0))</f>
        <v>28.801231584952578</v>
      </c>
      <c r="O48" s="77">
        <f t="shared" ref="O48:O50" si="20">N48*365/1000</f>
        <v>10.512449528507691</v>
      </c>
    </row>
    <row r="49" spans="2:15" ht="14.1" customHeight="1" outlineLevel="2" x14ac:dyDescent="0.2">
      <c r="B49" s="41">
        <v>24</v>
      </c>
      <c r="C49" s="37" t="s">
        <v>161</v>
      </c>
      <c r="D49" s="76">
        <f t="array" ref="D49">SUM(IF(SUSENAS!$AB$11:$AB$256=$B49,SUSENAS!$AG$11:$AG$255,0))</f>
        <v>0.13010016076895936</v>
      </c>
      <c r="E49" s="76">
        <f t="array" ref="E49">SUM(IF(SUSENAS!$AB$11:$AB$256=$B49,SUSENAS!$AH$11:$AH$255,0))</f>
        <v>1.0352797939174486E-3</v>
      </c>
      <c r="F49" s="76">
        <f t="array" ref="F49">SUM(IF(SUSENAS!$AB$11:$AB$256=$B49,SUSENAS!$AK$11:$AK$255,0))</f>
        <v>3.4509326463914955E-2</v>
      </c>
      <c r="G49" s="77">
        <f t="shared" si="18"/>
        <v>1.2595904159328958E-2</v>
      </c>
      <c r="H49" s="76">
        <f t="array" ref="H49">SUM(IF(SUSENAS!$AB$11:$AB$256=$B49,SUSENAS!$AL$11:$AL$255,0))</f>
        <v>0.81732577468897338</v>
      </c>
      <c r="I49" s="76">
        <f t="array" ref="I49">SUM(IF(SUSENAS!$AB$11:$AB$256=$B49,SUSENAS!$AM$11:$AM$255,0))</f>
        <v>6.5039186314772412E-3</v>
      </c>
      <c r="J49" s="76">
        <f t="array" ref="J49">SUM(IF(SUSENAS!$AB$11:$AB$256=$B49,SUSENAS!$AP$11:$AP$255,0))</f>
        <v>0.21679728771590803</v>
      </c>
      <c r="K49" s="77">
        <f t="shared" si="19"/>
        <v>7.913101001630643E-2</v>
      </c>
      <c r="L49" s="76">
        <f t="array" ref="L49">SUM(IF(SUSENAS!$AB$11:$AB$256=$B49,SUSENAS!$AQ$11:$AQ$255,0))</f>
        <v>0.94742593545793286</v>
      </c>
      <c r="M49" s="76">
        <f t="array" ref="M49">SUM(IF(SUSENAS!$AB$11:$AB$256=$B49,SUSENAS!$AR$11:$AR$255,0))</f>
        <v>7.5391984253946913E-3</v>
      </c>
      <c r="N49" s="76">
        <f t="array" ref="N49">SUM(IF(SUSENAS!$AB$11:$AB$256=$B49,SUSENAS!$AU$11:$AU$255,0))</f>
        <v>0.25130661417982303</v>
      </c>
      <c r="O49" s="77">
        <f t="shared" si="20"/>
        <v>9.1726914175635402E-2</v>
      </c>
    </row>
    <row r="50" spans="2:15" ht="14.1" customHeight="1" outlineLevel="1" x14ac:dyDescent="0.2">
      <c r="B50" s="49"/>
      <c r="C50" s="49" t="s">
        <v>162</v>
      </c>
      <c r="D50" s="80">
        <f>SUM(D$48:D$49)</f>
        <v>11.798037218543969</v>
      </c>
      <c r="E50" s="80">
        <f>SUM(E$48:E$49)</f>
        <v>1.0352797939174486E-3</v>
      </c>
      <c r="F50" s="80">
        <f>SUM(F$48:F$49)</f>
        <v>3.2399865401383683</v>
      </c>
      <c r="G50" s="77">
        <f t="shared" si="18"/>
        <v>1.1825950871505044</v>
      </c>
      <c r="H50" s="80">
        <f>SUM(H$48:H$49)</f>
        <v>93.98587168614138</v>
      </c>
      <c r="I50" s="80">
        <f>SUM(I$48:I$49)</f>
        <v>6.5039186314772412E-3</v>
      </c>
      <c r="J50" s="80">
        <f>SUM(J$48:J$49)</f>
        <v>25.812551658994042</v>
      </c>
      <c r="K50" s="77">
        <f t="shared" si="19"/>
        <v>9.4215813555328261</v>
      </c>
      <c r="L50" s="80">
        <f>SUM(L$48:L$49)</f>
        <v>105.78390890468532</v>
      </c>
      <c r="M50" s="80">
        <f>SUM(M$48:M$49)</f>
        <v>7.5391984253946913E-3</v>
      </c>
      <c r="N50" s="80">
        <f>SUM(N$48:N$49)</f>
        <v>29.0525381991324</v>
      </c>
      <c r="O50" s="77">
        <f t="shared" si="20"/>
        <v>10.604176442683325</v>
      </c>
    </row>
    <row r="51" spans="2:15" s="17" customFormat="1" ht="14.1" customHeight="1" outlineLevel="2" x14ac:dyDescent="0.2">
      <c r="B51" s="57"/>
      <c r="C51" s="38" t="s">
        <v>207</v>
      </c>
      <c r="D51" s="87"/>
      <c r="E51" s="87"/>
      <c r="F51" s="87"/>
      <c r="G51" s="59"/>
      <c r="H51" s="87"/>
      <c r="I51" s="87"/>
      <c r="J51" s="87"/>
      <c r="K51" s="59"/>
      <c r="L51" s="87"/>
      <c r="M51" s="87"/>
      <c r="N51" s="87"/>
      <c r="O51" s="59"/>
    </row>
    <row r="52" spans="2:15" ht="14.1" customHeight="1" outlineLevel="2" x14ac:dyDescent="0.2">
      <c r="B52" s="41">
        <v>25</v>
      </c>
      <c r="C52" s="37" t="s">
        <v>163</v>
      </c>
      <c r="D52" s="76">
        <f t="array" ref="D52">SUM(IF(SUSENAS!$AB$11:$AB$256=$B52,SUSENAS!$AG$11:$AG$255,0))</f>
        <v>11.011442245813498</v>
      </c>
      <c r="E52" s="76">
        <f t="array" ref="E52">SUM(IF(SUSENAS!$AB$11:$AB$256=$B52,SUSENAS!$AH$11:$AH$255,0))</f>
        <v>0.5714214429879958</v>
      </c>
      <c r="F52" s="76">
        <f t="array" ref="F52">SUM(IF(SUSENAS!$AB$11:$AB$256=$B52,SUSENAS!$AK$11:$AK$255,0))</f>
        <v>16.060673521780966</v>
      </c>
      <c r="G52" s="77">
        <f t="shared" ref="G52:G54" si="21">F52*365/1000</f>
        <v>5.8621458354500531</v>
      </c>
      <c r="H52" s="76">
        <f t="array" ref="H52">SUM(IF(SUSENAS!$AB$11:$AB$256=$B52,SUSENAS!$AL$11:$AL$255,0))</f>
        <v>54.635099333763534</v>
      </c>
      <c r="I52" s="76">
        <f t="array" ref="I52">SUM(IF(SUSENAS!$AB$11:$AB$256=$B52,SUSENAS!$AM$11:$AM$255,0))</f>
        <v>3.184173232934123</v>
      </c>
      <c r="J52" s="76">
        <f t="array" ref="J52">SUM(IF(SUSENAS!$AB$11:$AB$256=$B52,SUSENAS!$AP$11:$AP$255,0))</f>
        <v>109.45766915269927</v>
      </c>
      <c r="K52" s="77">
        <f t="shared" ref="K52:K54" si="22">J52*365/1000</f>
        <v>39.952049240735235</v>
      </c>
      <c r="L52" s="76">
        <f t="array" ref="L52">SUM(IF(SUSENAS!$AB$11:$AB$256=$B52,SUSENAS!$AQ$11:$AQ$255,0))</f>
        <v>65.64654157957699</v>
      </c>
      <c r="M52" s="76">
        <f t="array" ref="M52">SUM(IF(SUSENAS!$AB$11:$AB$256=$B52,SUSENAS!$AR$11:$AR$255,0))</f>
        <v>3.7555946759221177</v>
      </c>
      <c r="N52" s="76">
        <f t="array" ref="N52">SUM(IF(SUSENAS!$AB$11:$AB$256=$B52,SUSENAS!$AU$11:$AU$255,0))</f>
        <v>125.51834267448021</v>
      </c>
      <c r="O52" s="77">
        <f t="shared" ref="O52:O54" si="23">N52*365/1000</f>
        <v>45.814195076185278</v>
      </c>
    </row>
    <row r="53" spans="2:15" ht="14.1" customHeight="1" outlineLevel="2" x14ac:dyDescent="0.2">
      <c r="B53" s="41">
        <v>26</v>
      </c>
      <c r="C53" s="37" t="s">
        <v>164</v>
      </c>
      <c r="D53" s="76">
        <f t="array" ref="D53">SUM(IF(SUSENAS!$AB$11:$AB$256=$B53,SUSENAS!$AG$11:$AG$255,0))</f>
        <v>4.7234863111355843</v>
      </c>
      <c r="E53" s="76">
        <f t="array" ref="E53">SUM(IF(SUSENAS!$AB$11:$AB$256=$B53,SUSENAS!$AH$11:$AH$255,0))</f>
        <v>5.3437427066133789E-2</v>
      </c>
      <c r="F53" s="76">
        <f t="array" ref="F53">SUM(IF(SUSENAS!$AB$11:$AB$256=$B53,SUSENAS!$AK$11:$AK$255,0))</f>
        <v>9.801041658472224</v>
      </c>
      <c r="G53" s="77">
        <f t="shared" si="21"/>
        <v>3.577380205342362</v>
      </c>
      <c r="H53" s="76">
        <f t="array" ref="H53">SUM(IF(SUSENAS!$AB$11:$AB$256=$B53,SUSENAS!$AL$11:$AL$255,0))</f>
        <v>17.524093549786731</v>
      </c>
      <c r="I53" s="76">
        <f t="array" ref="I53">SUM(IF(SUSENAS!$AB$11:$AB$256=$B53,SUSENAS!$AM$11:$AM$255,0))</f>
        <v>0.21398668331704121</v>
      </c>
      <c r="J53" s="76">
        <f t="array" ref="J53">SUM(IF(SUSENAS!$AB$11:$AB$256=$B53,SUSENAS!$AP$11:$AP$255,0))</f>
        <v>40.686076908161859</v>
      </c>
      <c r="K53" s="77">
        <f t="shared" si="22"/>
        <v>14.850418071479078</v>
      </c>
      <c r="L53" s="76">
        <f t="array" ref="L53">SUM(IF(SUSENAS!$AB$11:$AB$256=$B53,SUSENAS!$AQ$11:$AQ$255,0))</f>
        <v>22.247579860922301</v>
      </c>
      <c r="M53" s="76">
        <f t="array" ref="M53">SUM(IF(SUSENAS!$AB$11:$AB$256=$B53,SUSENAS!$AR$11:$AR$255,0))</f>
        <v>0.26742411038317493</v>
      </c>
      <c r="N53" s="76">
        <f t="array" ref="N53">SUM(IF(SUSENAS!$AB$11:$AB$256=$B53,SUSENAS!$AU$11:$AU$255,0))</f>
        <v>50.487118566634066</v>
      </c>
      <c r="O53" s="77">
        <f t="shared" si="23"/>
        <v>18.427798276821434</v>
      </c>
    </row>
    <row r="54" spans="2:15" ht="14.1" customHeight="1" outlineLevel="1" x14ac:dyDescent="0.2">
      <c r="B54" s="49"/>
      <c r="C54" s="49" t="s">
        <v>165</v>
      </c>
      <c r="D54" s="80">
        <f>SUM(D$52:D$53)</f>
        <v>15.734928556949082</v>
      </c>
      <c r="E54" s="80">
        <f>SUM(E$52:E$53)</f>
        <v>0.62485887005412954</v>
      </c>
      <c r="F54" s="80">
        <f>SUM(F$52:F$53)</f>
        <v>25.861715180253192</v>
      </c>
      <c r="G54" s="77">
        <f t="shared" si="21"/>
        <v>9.4395260407924138</v>
      </c>
      <c r="H54" s="80">
        <f>SUM(H$52:H$53)</f>
        <v>72.159192883550261</v>
      </c>
      <c r="I54" s="80">
        <f>SUM(I$52:I$53)</f>
        <v>3.3981599162511644</v>
      </c>
      <c r="J54" s="80">
        <f>SUM(J$52:J$53)</f>
        <v>150.14374606086113</v>
      </c>
      <c r="K54" s="77">
        <f t="shared" si="22"/>
        <v>54.802467312214311</v>
      </c>
      <c r="L54" s="80">
        <f>SUM(L$52:L$53)</f>
        <v>87.894121440499291</v>
      </c>
      <c r="M54" s="80">
        <f>SUM(M$52:M$53)</f>
        <v>4.0230187863052924</v>
      </c>
      <c r="N54" s="80">
        <f>SUM(N$52:N$53)</f>
        <v>176.00546124111429</v>
      </c>
      <c r="O54" s="77">
        <f t="shared" si="23"/>
        <v>64.24199335300672</v>
      </c>
    </row>
    <row r="55" spans="2:15" ht="14.1" customHeight="1" outlineLevel="2" x14ac:dyDescent="0.2">
      <c r="B55" s="37"/>
      <c r="C55" s="38" t="s">
        <v>206</v>
      </c>
      <c r="D55" s="82"/>
      <c r="E55" s="82"/>
      <c r="F55" s="82"/>
      <c r="G55" s="52"/>
      <c r="H55" s="82"/>
      <c r="I55" s="82"/>
      <c r="J55" s="82"/>
      <c r="K55" s="52"/>
      <c r="L55" s="82"/>
      <c r="M55" s="82"/>
      <c r="N55" s="82"/>
      <c r="O55" s="52"/>
    </row>
    <row r="56" spans="2:15" ht="14.1" customHeight="1" outlineLevel="2" x14ac:dyDescent="0.2">
      <c r="B56" s="41">
        <v>27</v>
      </c>
      <c r="C56" s="37" t="s">
        <v>166</v>
      </c>
      <c r="D56" s="76">
        <f t="array" ref="D56">SUM(IF(SUSENAS!$AB$11:$AB$256=$B56,SUSENAS!$AG$11:$AG$255,0))</f>
        <v>3.485818109874891</v>
      </c>
      <c r="E56" s="76">
        <f t="array" ref="E56">SUM(IF(SUSENAS!$AB$11:$AB$256=$B56,SUSENAS!$AH$11:$AH$255,0))</f>
        <v>0.15781115214259092</v>
      </c>
      <c r="F56" s="76">
        <f t="array" ref="F56">SUM(IF(SUSENAS!$AB$11:$AB$256=$B56,SUSENAS!$AK$11:$AK$255,0))</f>
        <v>7.3710024915795165</v>
      </c>
      <c r="G56" s="77">
        <f t="shared" ref="G56:G58" si="24">F56*365/1000</f>
        <v>2.6904159094265236</v>
      </c>
      <c r="H56" s="76">
        <f t="array" ref="H56">SUM(IF(SUSENAS!$AB$11:$AB$256=$B56,SUSENAS!$AL$11:$AL$255,0))</f>
        <v>19.099938565841281</v>
      </c>
      <c r="I56" s="76">
        <f t="array" ref="I56">SUM(IF(SUSENAS!$AB$11:$AB$256=$B56,SUSENAS!$AM$11:$AM$255,0))</f>
        <v>0.78988273657245367</v>
      </c>
      <c r="J56" s="76">
        <f t="array" ref="J56">SUM(IF(SUSENAS!$AB$11:$AB$256=$B56,SUSENAS!$AP$11:$AP$255,0))</f>
        <v>85.377795200739982</v>
      </c>
      <c r="K56" s="77">
        <f t="shared" ref="K56:K58" si="25">J56*365/1000</f>
        <v>31.162895248270097</v>
      </c>
      <c r="L56" s="76">
        <f t="array" ref="L56">SUM(IF(SUSENAS!$AB$11:$AB$256=$B56,SUSENAS!$AQ$11:$AQ$255,0))</f>
        <v>22.585756675716134</v>
      </c>
      <c r="M56" s="76">
        <f t="array" ref="M56">SUM(IF(SUSENAS!$AB$11:$AB$256=$B56,SUSENAS!$AR$11:$AR$255,0))</f>
        <v>0.9476938887150429</v>
      </c>
      <c r="N56" s="76">
        <f t="array" ref="N56">SUM(IF(SUSENAS!$AB$11:$AB$256=$B56,SUSENAS!$AU$11:$AU$255,0))</f>
        <v>92.7487976923194</v>
      </c>
      <c r="O56" s="77">
        <f t="shared" ref="O56:O58" si="26">N56*365/1000</f>
        <v>33.853311157696581</v>
      </c>
    </row>
    <row r="57" spans="2:15" ht="14.1" customHeight="1" outlineLevel="2" x14ac:dyDescent="0.2">
      <c r="B57" s="41">
        <v>28</v>
      </c>
      <c r="C57" s="37" t="s">
        <v>167</v>
      </c>
      <c r="D57" s="76">
        <f t="array" ref="D57">SUM(IF(SUSENAS!$AB$11:$AB$256=$B57,SUSENAS!$AG$11:$AG$255,0))</f>
        <v>17.711896330995351</v>
      </c>
      <c r="E57" s="76">
        <f t="array" ref="E57">SUM(IF(SUSENAS!$AB$11:$AB$256=$B57,SUSENAS!$AH$11:$AH$255,0))</f>
        <v>0.53751917701461227</v>
      </c>
      <c r="F57" s="76">
        <f t="array" ref="F57">SUM(IF(SUSENAS!$AB$11:$AB$256=$B57,SUSENAS!$AK$11:$AK$255,0))</f>
        <v>78.417048163340041</v>
      </c>
      <c r="G57" s="77">
        <f t="shared" si="24"/>
        <v>28.622222579619116</v>
      </c>
      <c r="H57" s="76">
        <f t="array" ref="H57">SUM(IF(SUSENAS!$AB$11:$AB$256=$B57,SUSENAS!$AL$11:$AL$255,0))</f>
        <v>202.82696468078004</v>
      </c>
      <c r="I57" s="76">
        <f t="array" ref="I57">SUM(IF(SUSENAS!$AB$11:$AB$256=$B57,SUSENAS!$AM$11:$AM$255,0))</f>
        <v>6.1720119425829392</v>
      </c>
      <c r="J57" s="76">
        <f t="array" ref="J57">SUM(IF(SUSENAS!$AB$11:$AB$256=$B57,SUSENAS!$AP$11:$AP$255,0))</f>
        <v>854.00590701858039</v>
      </c>
      <c r="K57" s="77">
        <f t="shared" si="25"/>
        <v>311.71215606178185</v>
      </c>
      <c r="L57" s="76">
        <f t="array" ref="L57">SUM(IF(SUSENAS!$AB$11:$AB$256=$B57,SUSENAS!$AQ$11:$AQ$255,0))</f>
        <v>220.53886101177542</v>
      </c>
      <c r="M57" s="76">
        <f t="array" ref="M57">SUM(IF(SUSENAS!$AB$11:$AB$256=$B57,SUSENAS!$AR$11:$AR$255,0))</f>
        <v>6.7095311195975524</v>
      </c>
      <c r="N57" s="76">
        <f t="array" ref="N57">SUM(IF(SUSENAS!$AB$11:$AB$256=$B57,SUSENAS!$AU$11:$AU$255,0))</f>
        <v>932.42295518192032</v>
      </c>
      <c r="O57" s="77">
        <f t="shared" si="26"/>
        <v>340.33437864140092</v>
      </c>
    </row>
    <row r="58" spans="2:15" ht="14.1" customHeight="1" outlineLevel="1" x14ac:dyDescent="0.2">
      <c r="B58" s="49"/>
      <c r="C58" s="49" t="s">
        <v>168</v>
      </c>
      <c r="D58" s="80">
        <f>SUM(D$56:D$57)</f>
        <v>21.197714440870243</v>
      </c>
      <c r="E58" s="80">
        <f>SUM(E$56:E$57)</f>
        <v>0.69533032915720316</v>
      </c>
      <c r="F58" s="80">
        <f>SUM(F$56:F$57)</f>
        <v>85.788050654919559</v>
      </c>
      <c r="G58" s="77">
        <f t="shared" si="24"/>
        <v>31.312638489045639</v>
      </c>
      <c r="H58" s="80">
        <f>SUM(H$56:H$57)</f>
        <v>221.92690324662132</v>
      </c>
      <c r="I58" s="80">
        <f>SUM(I$56:I$57)</f>
        <v>6.9618946791553924</v>
      </c>
      <c r="J58" s="80">
        <f>SUM(J$56:J$57)</f>
        <v>939.38370221932041</v>
      </c>
      <c r="K58" s="77">
        <f t="shared" si="25"/>
        <v>342.87505131005196</v>
      </c>
      <c r="L58" s="80">
        <f>SUM(L$56:L$57)</f>
        <v>243.12461768749156</v>
      </c>
      <c r="M58" s="80">
        <f>SUM(M$56:M$57)</f>
        <v>7.6572250083125954</v>
      </c>
      <c r="N58" s="80">
        <f>SUM(N$56:N$57)</f>
        <v>1025.1717528742397</v>
      </c>
      <c r="O58" s="77">
        <f t="shared" si="26"/>
        <v>374.18768979909748</v>
      </c>
    </row>
    <row r="59" spans="2:15" ht="14.1" customHeight="1" x14ac:dyDescent="0.2">
      <c r="B59" s="66"/>
      <c r="C59" s="66"/>
    </row>
    <row r="60" spans="2:15" ht="14.1" customHeight="1" x14ac:dyDescent="0.2">
      <c r="B60" s="66"/>
      <c r="C60" s="66"/>
      <c r="L60" s="339"/>
    </row>
    <row r="61" spans="2:15" ht="14.1" customHeight="1" x14ac:dyDescent="0.2">
      <c r="B61" s="66"/>
      <c r="C61" s="66"/>
      <c r="L61" s="339"/>
    </row>
    <row r="62" spans="2:15" ht="14.1" customHeight="1" x14ac:dyDescent="0.2">
      <c r="B62" s="66"/>
      <c r="C62" s="66"/>
    </row>
    <row r="63" spans="2:15" ht="14.1" customHeight="1" x14ac:dyDescent="0.2">
      <c r="B63" s="66"/>
      <c r="C63" s="66"/>
    </row>
    <row r="64" spans="2:15" ht="14.1" customHeight="1" x14ac:dyDescent="0.2">
      <c r="B64" s="66"/>
      <c r="C64" s="66"/>
    </row>
    <row r="65" spans="2:3" ht="14.1" customHeight="1" x14ac:dyDescent="0.2">
      <c r="B65" s="66"/>
      <c r="C65" s="66"/>
    </row>
    <row r="66" spans="2:3" ht="14.1" customHeight="1" x14ac:dyDescent="0.2">
      <c r="B66" s="66"/>
      <c r="C66" s="66"/>
    </row>
    <row r="67" spans="2:3" ht="14.1" customHeight="1" x14ac:dyDescent="0.2">
      <c r="B67" s="66"/>
      <c r="C67" s="66"/>
    </row>
    <row r="68" spans="2:3" ht="14.1" customHeight="1" x14ac:dyDescent="0.2">
      <c r="B68" s="66"/>
      <c r="C68" s="66"/>
    </row>
    <row r="69" spans="2:3" ht="14.1" customHeight="1" x14ac:dyDescent="0.2">
      <c r="B69" s="66"/>
      <c r="C69" s="66"/>
    </row>
    <row r="70" spans="2:3" ht="14.1" customHeight="1" x14ac:dyDescent="0.2">
      <c r="B70" s="66"/>
      <c r="C70" s="66"/>
    </row>
    <row r="71" spans="2:3" ht="14.1" customHeight="1" x14ac:dyDescent="0.2">
      <c r="B71" s="66"/>
      <c r="C71" s="66"/>
    </row>
    <row r="72" spans="2:3" ht="14.1" customHeight="1" x14ac:dyDescent="0.2">
      <c r="B72" s="66"/>
      <c r="C72" s="66"/>
    </row>
    <row r="73" spans="2:3" ht="14.1" customHeight="1" x14ac:dyDescent="0.2">
      <c r="B73" s="66"/>
      <c r="C73" s="66"/>
    </row>
    <row r="74" spans="2:3" ht="14.1" customHeight="1" x14ac:dyDescent="0.2">
      <c r="B74" s="66"/>
      <c r="C74" s="66"/>
    </row>
    <row r="75" spans="2:3" ht="14.1" customHeight="1" x14ac:dyDescent="0.2">
      <c r="B75" s="66"/>
      <c r="C75" s="66"/>
    </row>
    <row r="76" spans="2:3" ht="14.1" customHeight="1" x14ac:dyDescent="0.2">
      <c r="B76" s="66"/>
      <c r="C76" s="66"/>
    </row>
    <row r="77" spans="2:3" ht="14.1" customHeight="1" x14ac:dyDescent="0.2">
      <c r="B77" s="66"/>
      <c r="C77" s="66"/>
    </row>
    <row r="78" spans="2:3" ht="14.1" customHeight="1" x14ac:dyDescent="0.2">
      <c r="B78" s="66"/>
      <c r="C78" s="66"/>
    </row>
  </sheetData>
  <mergeCells count="12">
    <mergeCell ref="D13:O13"/>
    <mergeCell ref="D9:G9"/>
    <mergeCell ref="F10:G10"/>
    <mergeCell ref="H9:K9"/>
    <mergeCell ref="B9:B12"/>
    <mergeCell ref="C9:C12"/>
    <mergeCell ref="J10:K10"/>
    <mergeCell ref="N10:O10"/>
    <mergeCell ref="D10:E10"/>
    <mergeCell ref="H10:I10"/>
    <mergeCell ref="L10:M10"/>
    <mergeCell ref="L9:O9"/>
  </mergeCells>
  <dataValidations disablePrompts="1" count="1">
    <dataValidation type="whole" allowBlank="1" showInputMessage="1" showErrorMessage="1" errorTitle="Kode Data Konsumsi" error="Maaf.. Pilihan data hanya antara 1 atau 2 !" promptTitle="Kode Data Konsumsi" prompt="1 = Survey Konsumsi Rumahtangga, 2 = Suvey Sosial Ekonomi Nasional" sqref="H5:I5">
      <formula1>1</formula1>
      <formula2>2</formula2>
    </dataValidation>
  </dataValidations>
  <hyperlinks>
    <hyperlink ref="B1" location="MENU!A1" display="KEMBALI KE MENU UTAMA"/>
  </hyperlinks>
  <pageMargins left="0.70866141732283472" right="0.70866141732283472" top="0.74803149606299213" bottom="0.74803149606299213" header="0.31496062992125984" footer="0.31496062992125984"/>
  <pageSetup paperSize="9" scale="63" fitToHeight="0"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B2:L74"/>
  <sheetViews>
    <sheetView zoomScale="90" zoomScaleNormal="90" workbookViewId="0">
      <selection activeCell="E54" sqref="E54"/>
    </sheetView>
  </sheetViews>
  <sheetFormatPr defaultRowHeight="12" customHeight="1" x14ac:dyDescent="0.2"/>
  <cols>
    <col min="1" max="1" width="12.42578125" style="92" customWidth="1"/>
    <col min="2" max="2" width="5.85546875" style="110" customWidth="1"/>
    <col min="3" max="3" width="46.7109375" style="92" customWidth="1"/>
    <col min="4" max="4" width="11.42578125" style="110" hidden="1" customWidth="1"/>
    <col min="5" max="10" width="22" style="92" customWidth="1"/>
    <col min="11" max="16384" width="9.140625" style="92"/>
  </cols>
  <sheetData>
    <row r="2" spans="2:12" ht="12" customHeight="1" x14ac:dyDescent="0.15">
      <c r="B2" s="384"/>
      <c r="C2" s="384"/>
      <c r="D2" s="384"/>
      <c r="E2" s="384"/>
      <c r="F2" s="384"/>
    </row>
    <row r="4" spans="2:12" ht="12" customHeight="1" x14ac:dyDescent="0.15">
      <c r="B4" s="270" t="str">
        <f>UPPER(BASELINE!$C$8)</f>
        <v>BADAN KETAHANAN PANGAN DAN PENYULUHAN</v>
      </c>
      <c r="C4" s="4"/>
      <c r="D4" s="271"/>
      <c r="E4" s="4"/>
      <c r="F4" s="4"/>
      <c r="G4" s="4"/>
      <c r="H4" s="4"/>
      <c r="I4" s="4"/>
      <c r="J4" s="272" t="str">
        <f>UPPER(CONCATENATE("ANGKA ", BASELINE!$C$13," SKOR POLA PANGAN HARAPAN KONSUMSI PANGAN PENDUDUK"))</f>
        <v>ANGKA JUSTIFIKASI SKOR POLA PANGAN HARAPAN KONSUMSI PANGAN PENDUDUK</v>
      </c>
    </row>
    <row r="5" spans="2:12" ht="12" customHeight="1" x14ac:dyDescent="0.15">
      <c r="B5" s="270" t="str">
        <f>UPPER(CONCATENATE(IF(UPPER(BASELINE!$C$7)="INDONESIA","KEMENTRIAN PERTANIAN","PROPINSI "),BASELINE!$C$7))</f>
        <v>PROPINSI SUMATERA BARAT</v>
      </c>
      <c r="C5" s="4"/>
      <c r="D5" s="271"/>
      <c r="H5" s="5"/>
      <c r="I5" s="273"/>
      <c r="J5" s="272" t="s">
        <v>395</v>
      </c>
    </row>
    <row r="6" spans="2:12" ht="12" customHeight="1" x14ac:dyDescent="0.15">
      <c r="B6" s="270" t="str">
        <f>UPPER(BASELINE!$C$9)</f>
        <v>JL H AGUS SALIM PAINAN</v>
      </c>
      <c r="C6" s="4"/>
      <c r="D6" s="271"/>
      <c r="E6" s="274"/>
      <c r="J6" s="272" t="str">
        <f>UPPER(CONCATENATE(IF(UPPER(BASELINE!$C$7)="INDONESIA","","PROPINSI "),BASELINE!$C$7," TAHUN ",BASELINE!$C$12))</f>
        <v>PROPINSI SUMATERA BARAT TAHUN 2015</v>
      </c>
    </row>
    <row r="7" spans="2:12" ht="12" customHeight="1" x14ac:dyDescent="0.15">
      <c r="B7" s="271"/>
      <c r="C7" s="4"/>
      <c r="D7" s="271"/>
      <c r="E7" s="275"/>
      <c r="F7" s="4"/>
      <c r="G7" s="4"/>
      <c r="H7" s="4"/>
      <c r="I7" s="4"/>
      <c r="J7" s="4"/>
    </row>
    <row r="8" spans="2:12" ht="12" customHeight="1" x14ac:dyDescent="0.15">
      <c r="B8" s="271"/>
      <c r="C8" s="4"/>
      <c r="D8" s="271"/>
      <c r="E8" s="275"/>
      <c r="F8" s="4"/>
      <c r="G8" s="4"/>
      <c r="H8" s="4"/>
      <c r="I8" s="4"/>
      <c r="J8" s="272" t="s">
        <v>429</v>
      </c>
    </row>
    <row r="9" spans="2:12" ht="12" customHeight="1" x14ac:dyDescent="0.15">
      <c r="B9" s="271"/>
      <c r="C9" s="4"/>
      <c r="D9" s="271"/>
      <c r="E9" s="275"/>
      <c r="F9" s="4"/>
      <c r="G9" s="4"/>
      <c r="H9" s="4"/>
      <c r="I9" s="4"/>
      <c r="J9" s="4"/>
    </row>
    <row r="10" spans="2:12" ht="12" customHeight="1" x14ac:dyDescent="0.15">
      <c r="B10" s="380" t="s">
        <v>170</v>
      </c>
      <c r="C10" s="382" t="s">
        <v>171</v>
      </c>
      <c r="D10" s="382" t="s">
        <v>400</v>
      </c>
      <c r="E10" s="377" t="s">
        <v>442</v>
      </c>
      <c r="F10" s="378"/>
      <c r="G10" s="379"/>
      <c r="H10" s="377" t="s">
        <v>458</v>
      </c>
      <c r="I10" s="378"/>
      <c r="J10" s="379"/>
    </row>
    <row r="11" spans="2:12" ht="12" customHeight="1" x14ac:dyDescent="0.2">
      <c r="B11" s="381"/>
      <c r="C11" s="383"/>
      <c r="D11" s="383"/>
      <c r="E11" s="276" t="s">
        <v>459</v>
      </c>
      <c r="F11" s="276" t="s">
        <v>172</v>
      </c>
      <c r="G11" s="277" t="s">
        <v>195</v>
      </c>
      <c r="H11" s="276" t="s">
        <v>460</v>
      </c>
      <c r="I11" s="276" t="s">
        <v>172</v>
      </c>
      <c r="J11" s="277" t="s">
        <v>1</v>
      </c>
    </row>
    <row r="12" spans="2:12" ht="12" customHeight="1" x14ac:dyDescent="0.2">
      <c r="B12" s="279"/>
      <c r="C12" s="279"/>
      <c r="D12" s="279"/>
      <c r="E12" s="279"/>
      <c r="F12" s="279"/>
      <c r="G12" s="280"/>
      <c r="H12" s="281"/>
      <c r="I12" s="281"/>
      <c r="J12" s="280"/>
    </row>
    <row r="13" spans="2:12" ht="12" customHeight="1" x14ac:dyDescent="0.15">
      <c r="B13" s="96">
        <v>1</v>
      </c>
      <c r="C13" s="97" t="s">
        <v>175</v>
      </c>
      <c r="D13" s="282">
        <f>IF(UPPER(BASELINE!$C$13)="JUSTIFIKASI",VLOOKUP(BASELINE!$C$7,'FAKTOR KOREKSI'!$C$11:$M$44,2,FALSE),1)</f>
        <v>1.0383</v>
      </c>
      <c r="E13" s="98">
        <f>SUM('POLA KONSUMSI'!$D$14:$D$16)</f>
        <v>118.33622949638863</v>
      </c>
      <c r="F13" s="98">
        <f>$E13/$E$23*100</f>
        <v>40.850684633686853</v>
      </c>
      <c r="G13" s="288">
        <f>E13/BASELINE!$C$16*100</f>
        <v>5.9168114748194309</v>
      </c>
      <c r="H13" s="98">
        <f>SUM('POLA KONSUMSI'!$E$14:$E$16)</f>
        <v>2.7775811197869467</v>
      </c>
      <c r="I13" s="98">
        <f>$H13/$H$23*100</f>
        <v>26.477332931640134</v>
      </c>
      <c r="J13" s="288">
        <f>H13/BASELINE!$C$17*100</f>
        <v>5.3415021534364362</v>
      </c>
    </row>
    <row r="14" spans="2:12" ht="12" customHeight="1" x14ac:dyDescent="0.15">
      <c r="B14" s="96">
        <v>2</v>
      </c>
      <c r="C14" s="97" t="s">
        <v>176</v>
      </c>
      <c r="D14" s="282">
        <f>IF(UPPER(BASELINE!$C$13)="JUSTIFIKASI",VLOOKUP(BASELINE!$C$7,'FAKTOR KOREKSI'!$C$11:$M$44,3,FALSE),1)</f>
        <v>0.9657</v>
      </c>
      <c r="E14" s="98">
        <f>SUM('POLA KONSUMSI'!$D$19:$D$23)</f>
        <v>2.5145158506882126</v>
      </c>
      <c r="F14" s="98">
        <f t="shared" ref="F14" si="0">$E14/$E$23*100</f>
        <v>0.86803250754246641</v>
      </c>
      <c r="G14" s="288">
        <f>E14/BASELINE!$C$16*100</f>
        <v>0.12572579253441063</v>
      </c>
      <c r="H14" s="98">
        <f>SUM('POLA KONSUMSI'!$E$19:$E$23)</f>
        <v>5.6314220840399359E-2</v>
      </c>
      <c r="I14" s="98">
        <f>$H14/$H$23*100</f>
        <v>0.53681613953781904</v>
      </c>
      <c r="J14" s="288">
        <f>H14/BASELINE!$C$17*100</f>
        <v>0.10829657853922954</v>
      </c>
      <c r="L14" s="274"/>
    </row>
    <row r="15" spans="2:12" ht="12" customHeight="1" x14ac:dyDescent="0.15">
      <c r="B15" s="96">
        <v>3</v>
      </c>
      <c r="C15" s="97" t="s">
        <v>177</v>
      </c>
      <c r="D15" s="282">
        <f>IF(UPPER(BASELINE!$C$13)="JUSTIFIKASI",VLOOKUP(BASELINE!$C$7,'FAKTOR KOREKSI'!$C$11:$M$44,4,FALSE),1)</f>
        <v>1.0833999999999999</v>
      </c>
      <c r="E15" s="98">
        <f>SUM('POLA KONSUMSI'!$D$26:$D$30)</f>
        <v>66.71186697989674</v>
      </c>
      <c r="F15" s="98">
        <f t="shared" ref="F15:F21" si="1">$E15/$E$23*100</f>
        <v>23.029510496642938</v>
      </c>
      <c r="G15" s="288">
        <f>E15/BASELINE!$C$16*100</f>
        <v>3.3355933489948373</v>
      </c>
      <c r="H15" s="98">
        <f>SUM('POLA KONSUMSI'!$E$26:$E$30)</f>
        <v>5.652539399247452</v>
      </c>
      <c r="I15" s="98">
        <f>$H15/$H$23*100</f>
        <v>53.882915072006185</v>
      </c>
      <c r="J15" s="288">
        <f>H15/BASELINE!$C$17*100</f>
        <v>10.87026807547587</v>
      </c>
    </row>
    <row r="16" spans="2:12" ht="12" customHeight="1" x14ac:dyDescent="0.15">
      <c r="B16" s="96">
        <v>4</v>
      </c>
      <c r="C16" s="97" t="s">
        <v>178</v>
      </c>
      <c r="D16" s="282">
        <f>IF(UPPER(BASELINE!$C$13)="JUSTIFIKASI",VLOOKUP(BASELINE!$C$7,'FAKTOR KOREKSI'!$C$11:$M$44,5,FALSE),1)</f>
        <v>1.1267</v>
      </c>
      <c r="E16" s="98">
        <f>SUM('POLA KONSUMSI'!$D$33:$D$35)</f>
        <v>36.206119816188583</v>
      </c>
      <c r="F16" s="98">
        <f t="shared" si="1"/>
        <v>12.498664092265484</v>
      </c>
      <c r="G16" s="288">
        <f>E16/BASELINE!$C$16*100</f>
        <v>1.8103059908094292</v>
      </c>
      <c r="H16" s="98">
        <f>SUM('POLA KONSUMSI'!$E$33:$E$35)</f>
        <v>2.9329785171427412E-4</v>
      </c>
      <c r="I16" s="98">
        <f>$H16/$H$23*100</f>
        <v>2.7958660910574321E-3</v>
      </c>
      <c r="J16" s="288">
        <f>H16/BASELINE!$C$17*100</f>
        <v>5.6403433021975794E-4</v>
      </c>
    </row>
    <row r="17" spans="2:12" ht="12" customHeight="1" x14ac:dyDescent="0.15">
      <c r="B17" s="96">
        <v>5</v>
      </c>
      <c r="C17" s="97" t="s">
        <v>179</v>
      </c>
      <c r="D17" s="282">
        <f>IF(UPPER(BASELINE!$C$13)="JUSTIFIKASI",VLOOKUP(BASELINE!$C$7,'FAKTOR KOREKSI'!$C$11:$M$44,6,FALSE),1)</f>
        <v>1.4052</v>
      </c>
      <c r="E17" s="98">
        <f>SUM('POLA KONSUMSI'!$D$38:$D$39)</f>
        <v>13.089769247332462</v>
      </c>
      <c r="F17" s="98">
        <f t="shared" si="1"/>
        <v>4.5187009737100814</v>
      </c>
      <c r="G17" s="288">
        <f>E17/BASELINE!$C$16*100</f>
        <v>0.65448846236662317</v>
      </c>
      <c r="H17" s="98">
        <f>SUM('POLA KONSUMSI'!$E$38:$E$39)</f>
        <v>0.24388292180505505</v>
      </c>
      <c r="I17" s="98">
        <f t="shared" ref="I17:I21" si="2">$H17/$H$23*100</f>
        <v>2.324817543931502</v>
      </c>
      <c r="J17" s="288">
        <f>H17/BASELINE!$C$17*100</f>
        <v>0.46900561885587511</v>
      </c>
    </row>
    <row r="18" spans="2:12" ht="12" customHeight="1" x14ac:dyDescent="0.15">
      <c r="B18" s="96">
        <v>6</v>
      </c>
      <c r="C18" s="97" t="s">
        <v>180</v>
      </c>
      <c r="D18" s="282">
        <f>IF(UPPER(BASELINE!$C$13)="JUSTIFIKASI",VLOOKUP(BASELINE!$C$7,'FAKTOR KOREKSI'!$C$11:$M$44,7,FALSE),1)</f>
        <v>1.5347</v>
      </c>
      <c r="E18" s="98">
        <f>SUM('POLA KONSUMSI'!$D$42:$D$45)</f>
        <v>4.090735774023762</v>
      </c>
      <c r="F18" s="98">
        <f t="shared" si="1"/>
        <v>1.4121571874950218</v>
      </c>
      <c r="G18" s="288">
        <f>E18/BASELINE!$C$16*100</f>
        <v>0.20453678870118808</v>
      </c>
      <c r="H18" s="98">
        <f>SUM('POLA KONSUMSI'!$E$42:$E$45)</f>
        <v>0.43857583875526257</v>
      </c>
      <c r="I18" s="98">
        <f>$H18/$H$23*100</f>
        <v>4.1807306421304906</v>
      </c>
      <c r="J18" s="288">
        <f>H18/BASELINE!$C$17*100</f>
        <v>0.84341507452935105</v>
      </c>
    </row>
    <row r="19" spans="2:12" ht="12" customHeight="1" x14ac:dyDescent="0.15">
      <c r="B19" s="96">
        <v>7</v>
      </c>
      <c r="C19" s="97" t="s">
        <v>181</v>
      </c>
      <c r="D19" s="282">
        <f>IF(UPPER(BASELINE!$C$13)="JUSTIFIKASI",VLOOKUP(BASELINE!$C$7,'FAKTOR KOREKSI'!$C$11:$M$44,8,FALSE),1)</f>
        <v>1.3011999999999999</v>
      </c>
      <c r="E19" s="98">
        <f>SUM('POLA KONSUMSI'!$D$48:$D$49)</f>
        <v>11.798037218543969</v>
      </c>
      <c r="F19" s="98">
        <f t="shared" si="1"/>
        <v>4.0727839628010809</v>
      </c>
      <c r="G19" s="288">
        <f>E19/BASELINE!$C$16*100</f>
        <v>0.58990186092719854</v>
      </c>
      <c r="H19" s="98">
        <f>SUM('POLA KONSUMSI'!$E$48:$E$49)</f>
        <v>1.0352797939174486E-3</v>
      </c>
      <c r="I19" s="98">
        <f t="shared" si="2"/>
        <v>9.8688198827671537E-3</v>
      </c>
      <c r="J19" s="288">
        <f>H19/BASELINE!$C$17*100</f>
        <v>1.9909226806104781E-3</v>
      </c>
    </row>
    <row r="20" spans="2:12" ht="12" customHeight="1" x14ac:dyDescent="0.15">
      <c r="B20" s="96">
        <v>8</v>
      </c>
      <c r="C20" s="97" t="s">
        <v>182</v>
      </c>
      <c r="D20" s="282">
        <f>IF(UPPER(BASELINE!$C$13)="JUSTIFIKASI",VLOOKUP(BASELINE!$C$7,'FAKTOR KOREKSI'!$C$11:$M$44,9,FALSE),1)</f>
        <v>1.4048</v>
      </c>
      <c r="E20" s="98">
        <f>SUM('POLA KONSUMSI'!$D$52:$D$53)</f>
        <v>15.734928556949082</v>
      </c>
      <c r="F20" s="98">
        <f t="shared" si="1"/>
        <v>5.4318327273824183</v>
      </c>
      <c r="G20" s="288">
        <f>E20/BASELINE!$C$16*100</f>
        <v>0.78674642784745419</v>
      </c>
      <c r="H20" s="98">
        <f>SUM('POLA KONSUMSI'!$E$52:$E$53)</f>
        <v>0.62485887005412954</v>
      </c>
      <c r="I20" s="98">
        <f>$H20/$H$23*100</f>
        <v>5.9564763815001358</v>
      </c>
      <c r="J20" s="288">
        <f>H20/BASELINE!$C$17*100</f>
        <v>1.2016516731810183</v>
      </c>
    </row>
    <row r="21" spans="2:12" ht="12" customHeight="1" x14ac:dyDescent="0.15">
      <c r="B21" s="96">
        <v>9</v>
      </c>
      <c r="C21" s="97" t="s">
        <v>183</v>
      </c>
      <c r="D21" s="282">
        <f>IF(UPPER(BASELINE!$C$13)="JUSTIFIKASI",VLOOKUP(BASELINE!$C$7,'FAKTOR KOREKSI'!$C$11:$M$44,10,FALSE),1)</f>
        <v>1.2181999999999999</v>
      </c>
      <c r="E21" s="98">
        <f>SUM('POLA KONSUMSI'!$D$56:$D$57)</f>
        <v>21.197714440870243</v>
      </c>
      <c r="F21" s="98">
        <f t="shared" si="1"/>
        <v>7.317633418473644</v>
      </c>
      <c r="G21" s="288">
        <f>E21/BASELINE!$C$16*100</f>
        <v>1.0598857220435121</v>
      </c>
      <c r="H21" s="98">
        <f>SUM('POLA KONSUMSI'!$E$56:$E$57)</f>
        <v>0.69533032915720316</v>
      </c>
      <c r="I21" s="98">
        <f t="shared" si="2"/>
        <v>6.6282466032798926</v>
      </c>
      <c r="J21" s="288">
        <f>H21/BASELINE!$C$17*100</f>
        <v>1.3371737099176983</v>
      </c>
    </row>
    <row r="22" spans="2:12" ht="12" customHeight="1" x14ac:dyDescent="0.15">
      <c r="B22" s="96"/>
      <c r="C22" s="96"/>
      <c r="D22" s="96"/>
      <c r="E22" s="296"/>
      <c r="F22" s="296"/>
      <c r="G22" s="297"/>
      <c r="H22" s="298"/>
      <c r="I22" s="298"/>
      <c r="J22" s="297"/>
    </row>
    <row r="23" spans="2:12" ht="12" customHeight="1" x14ac:dyDescent="0.15">
      <c r="B23" s="96"/>
      <c r="C23" s="285" t="s">
        <v>184</v>
      </c>
      <c r="D23" s="286"/>
      <c r="E23" s="287">
        <f t="shared" ref="E23:J23" si="3">SUM(E13:E21)</f>
        <v>289.6799173808817</v>
      </c>
      <c r="F23" s="287">
        <f t="shared" si="3"/>
        <v>100</v>
      </c>
      <c r="G23" s="288">
        <f t="shared" si="3"/>
        <v>14.483995869044087</v>
      </c>
      <c r="H23" s="288">
        <f t="shared" si="3"/>
        <v>10.490411277292081</v>
      </c>
      <c r="I23" s="288">
        <f t="shared" si="3"/>
        <v>99.999999999999986</v>
      </c>
      <c r="J23" s="288">
        <f t="shared" si="3"/>
        <v>20.173867840946311</v>
      </c>
    </row>
    <row r="24" spans="2:12" ht="12" customHeight="1" x14ac:dyDescent="0.15">
      <c r="B24" s="103"/>
      <c r="C24" s="106"/>
      <c r="D24" s="289"/>
      <c r="E24" s="290"/>
      <c r="F24" s="290"/>
      <c r="G24" s="290"/>
      <c r="H24" s="290"/>
      <c r="I24" s="290"/>
      <c r="J24" s="290"/>
    </row>
    <row r="25" spans="2:12" ht="12" customHeight="1" x14ac:dyDescent="0.15">
      <c r="E25" s="299"/>
      <c r="F25" s="299"/>
      <c r="G25" s="299"/>
      <c r="H25" s="302"/>
      <c r="I25" s="303"/>
      <c r="J25" s="303"/>
    </row>
    <row r="26" spans="2:12" ht="12" customHeight="1" x14ac:dyDescent="0.15">
      <c r="B26" s="271"/>
      <c r="C26" s="4"/>
      <c r="D26" s="271"/>
      <c r="E26" s="300"/>
      <c r="F26" s="300"/>
      <c r="G26" s="300"/>
      <c r="H26" s="300"/>
      <c r="I26" s="300"/>
      <c r="J26" s="301" t="s">
        <v>430</v>
      </c>
    </row>
    <row r="27" spans="2:12" ht="12" customHeight="1" x14ac:dyDescent="0.15">
      <c r="B27" s="271"/>
      <c r="C27" s="4"/>
      <c r="D27" s="271"/>
      <c r="E27" s="300"/>
      <c r="F27" s="300"/>
      <c r="G27" s="300"/>
      <c r="H27" s="300"/>
      <c r="I27" s="300"/>
      <c r="J27" s="300"/>
    </row>
    <row r="28" spans="2:12" ht="12" customHeight="1" x14ac:dyDescent="0.15">
      <c r="B28" s="380" t="s">
        <v>170</v>
      </c>
      <c r="C28" s="382" t="s">
        <v>171</v>
      </c>
      <c r="D28" s="382" t="s">
        <v>400</v>
      </c>
      <c r="E28" s="377" t="s">
        <v>442</v>
      </c>
      <c r="F28" s="378"/>
      <c r="G28" s="379"/>
      <c r="H28" s="377" t="s">
        <v>458</v>
      </c>
      <c r="I28" s="378"/>
      <c r="J28" s="379"/>
    </row>
    <row r="29" spans="2:12" ht="12" customHeight="1" x14ac:dyDescent="0.2">
      <c r="B29" s="381"/>
      <c r="C29" s="383"/>
      <c r="D29" s="383"/>
      <c r="E29" s="276" t="s">
        <v>459</v>
      </c>
      <c r="F29" s="276" t="s">
        <v>172</v>
      </c>
      <c r="G29" s="277" t="s">
        <v>195</v>
      </c>
      <c r="H29" s="276" t="s">
        <v>460</v>
      </c>
      <c r="I29" s="276" t="s">
        <v>172</v>
      </c>
      <c r="J29" s="277" t="s">
        <v>1</v>
      </c>
    </row>
    <row r="30" spans="2:12" ht="12" customHeight="1" x14ac:dyDescent="0.2">
      <c r="B30" s="279"/>
      <c r="C30" s="279"/>
      <c r="D30" s="279"/>
      <c r="E30" s="305"/>
      <c r="F30" s="305"/>
      <c r="G30" s="306"/>
      <c r="H30" s="307"/>
      <c r="I30" s="307"/>
      <c r="J30" s="306"/>
    </row>
    <row r="31" spans="2:12" ht="12" customHeight="1" x14ac:dyDescent="0.15">
      <c r="B31" s="96">
        <v>1</v>
      </c>
      <c r="C31" s="97" t="s">
        <v>175</v>
      </c>
      <c r="D31" s="282">
        <f>IF(UPPER(BASELINE!$C$13)="JUSTIFIKASI",VLOOKUP(BASELINE!$C$7,'FAKTOR KOREKSI'!$C$11:$M$44,2,FALSE),1)</f>
        <v>1.0383</v>
      </c>
      <c r="E31" s="98">
        <f>SUM('POLA KONSUMSI'!$H$14:$H$16)</f>
        <v>1300.859974397453</v>
      </c>
      <c r="F31" s="98">
        <f>$E31/$E$41*100</f>
        <v>51.606004336415246</v>
      </c>
      <c r="G31" s="288">
        <f>E31/BASELINE!$C$16*100</f>
        <v>65.042998719872642</v>
      </c>
      <c r="H31" s="98">
        <f>SUM('POLA KONSUMSI'!$I$14:$I$16)</f>
        <v>30.012480993052691</v>
      </c>
      <c r="I31" s="98">
        <f>$H31/$H$41*100</f>
        <v>38.498368469323587</v>
      </c>
      <c r="J31" s="288">
        <f>H31/BASELINE!$C$17*100</f>
        <v>57.71630960202441</v>
      </c>
    </row>
    <row r="32" spans="2:12" ht="12" customHeight="1" x14ac:dyDescent="0.15">
      <c r="B32" s="96">
        <v>2</v>
      </c>
      <c r="C32" s="97" t="s">
        <v>176</v>
      </c>
      <c r="D32" s="282">
        <f>IF(UPPER(BASELINE!$C$13)="JUSTIFIKASI",VLOOKUP(BASELINE!$C$7,'FAKTOR KOREKSI'!$C$11:$M$44,3,FALSE),1)</f>
        <v>0.9657</v>
      </c>
      <c r="E32" s="98">
        <f>SUM('POLA KONSUMSI'!$H$19:$H$23)</f>
        <v>14.448169295042744</v>
      </c>
      <c r="F32" s="98">
        <f t="shared" ref="F32:F39" si="4">$E32/$E$41*100</f>
        <v>0.57316875141661461</v>
      </c>
      <c r="G32" s="288">
        <f>E32/BASELINE!$C$16*100</f>
        <v>0.72240846475213716</v>
      </c>
      <c r="H32" s="98">
        <f>SUM('POLA KONSUMSI'!$I$19:$I$23)</f>
        <v>0.34308009695730973</v>
      </c>
      <c r="I32" s="98">
        <f t="shared" ref="I32:I39" si="5">$H32/$H$41*100</f>
        <v>0.44008437657024008</v>
      </c>
      <c r="J32" s="288">
        <f>H32/BASELINE!$C$17*100</f>
        <v>0.65976941722559568</v>
      </c>
      <c r="L32" s="274"/>
    </row>
    <row r="33" spans="2:10" ht="12" customHeight="1" x14ac:dyDescent="0.15">
      <c r="B33" s="96">
        <v>3</v>
      </c>
      <c r="C33" s="97" t="s">
        <v>177</v>
      </c>
      <c r="D33" s="282">
        <f>IF(UPPER(BASELINE!$C$13)="JUSTIFIKASI",VLOOKUP(BASELINE!$C$7,'FAKTOR KOREKSI'!$C$11:$M$44,4,FALSE),1)</f>
        <v>1.0833999999999999</v>
      </c>
      <c r="E33" s="98">
        <f>SUM('POLA KONSUMSI'!$H$26:$H$30)</f>
        <v>350.0964064356653</v>
      </c>
      <c r="F33" s="98">
        <f t="shared" si="4"/>
        <v>13.888563738038636</v>
      </c>
      <c r="G33" s="288">
        <f>E33/BASELINE!$C$16*100</f>
        <v>17.504820321783264</v>
      </c>
      <c r="H33" s="98">
        <f>SUM('POLA KONSUMSI'!$I$26:$I$30)</f>
        <v>32.61071791551359</v>
      </c>
      <c r="I33" s="98">
        <f t="shared" si="5"/>
        <v>41.83124462956691</v>
      </c>
      <c r="J33" s="288">
        <f>H33/BASELINE!$C$17*100</f>
        <v>62.712919068295371</v>
      </c>
    </row>
    <row r="34" spans="2:10" ht="12" customHeight="1" x14ac:dyDescent="0.15">
      <c r="B34" s="96">
        <v>4</v>
      </c>
      <c r="C34" s="97" t="s">
        <v>178</v>
      </c>
      <c r="D34" s="282">
        <f>IF(UPPER(BASELINE!$C$13)="JUSTIFIKASI",VLOOKUP(BASELINE!$C$7,'FAKTOR KOREKSI'!$C$11:$M$44,5,FALSE),1)</f>
        <v>1.1267</v>
      </c>
      <c r="E34" s="98">
        <f>SUM('POLA KONSUMSI'!$H$33:$H$35)</f>
        <v>278.60901673712652</v>
      </c>
      <c r="F34" s="98">
        <f t="shared" si="4"/>
        <v>11.052610126282234</v>
      </c>
      <c r="G34" s="288">
        <f>E34/BASELINE!$C$16*100</f>
        <v>13.930450836856325</v>
      </c>
      <c r="H34" s="98">
        <f>SUM('POLA KONSUMSI'!$I$33:$I$35)</f>
        <v>1.9500829118717163E-3</v>
      </c>
      <c r="I34" s="98">
        <f t="shared" si="5"/>
        <v>2.5014596595445485E-3</v>
      </c>
      <c r="J34" s="288">
        <f>H34/BASELINE!$C$17*100</f>
        <v>3.7501594459071466E-3</v>
      </c>
    </row>
    <row r="35" spans="2:10" ht="12" customHeight="1" x14ac:dyDescent="0.15">
      <c r="B35" s="96">
        <v>5</v>
      </c>
      <c r="C35" s="97" t="s">
        <v>179</v>
      </c>
      <c r="D35" s="282">
        <f>IF(UPPER(BASELINE!$C$13)="JUSTIFIKASI",VLOOKUP(BASELINE!$C$7,'FAKTOR KOREKSI'!$C$11:$M$44,6,FALSE),1)</f>
        <v>1.4052</v>
      </c>
      <c r="E35" s="98">
        <f>SUM('POLA KONSUMSI'!$H$38:$H$39)</f>
        <v>162.96144740212219</v>
      </c>
      <c r="F35" s="98">
        <f t="shared" si="4"/>
        <v>6.4647920043798432</v>
      </c>
      <c r="G35" s="288">
        <f>E35/BASELINE!$C$16*100</f>
        <v>8.1480723701061084</v>
      </c>
      <c r="H35" s="98">
        <f>SUM('POLA KONSUMSI'!$I$38:$I$39)</f>
        <v>1.8879612872835545</v>
      </c>
      <c r="I35" s="98">
        <f t="shared" si="5"/>
        <v>2.4217734385399718</v>
      </c>
      <c r="J35" s="288">
        <f>H35/BASELINE!$C$17*100</f>
        <v>3.6306947832376051</v>
      </c>
    </row>
    <row r="36" spans="2:10" ht="12" customHeight="1" x14ac:dyDescent="0.15">
      <c r="B36" s="96">
        <v>6</v>
      </c>
      <c r="C36" s="97" t="s">
        <v>180</v>
      </c>
      <c r="D36" s="282">
        <f>IF(UPPER(BASELINE!$C$13)="JUSTIFIKASI",VLOOKUP(BASELINE!$C$7,'FAKTOR KOREKSI'!$C$11:$M$44,7,FALSE),1)</f>
        <v>1.5347</v>
      </c>
      <c r="E36" s="98">
        <f>SUM('POLA KONSUMSI'!$H$42:$H$45)</f>
        <v>25.70615725497764</v>
      </c>
      <c r="F36" s="98">
        <f t="shared" si="4"/>
        <v>1.019780828745549</v>
      </c>
      <c r="G36" s="288">
        <f>E36/BASELINE!$C$16*100</f>
        <v>1.2853078627488821</v>
      </c>
      <c r="H36" s="98">
        <f>SUM('POLA KONSUMSI'!$I$42:$I$45)</f>
        <v>2.7350508465287766</v>
      </c>
      <c r="I36" s="98">
        <f t="shared" si="5"/>
        <v>3.508373576192318</v>
      </c>
      <c r="J36" s="288">
        <f>H36/BASELINE!$C$17*100</f>
        <v>5.2597131664014931</v>
      </c>
    </row>
    <row r="37" spans="2:10" ht="12" customHeight="1" x14ac:dyDescent="0.15">
      <c r="B37" s="96">
        <v>7</v>
      </c>
      <c r="C37" s="97" t="s">
        <v>181</v>
      </c>
      <c r="D37" s="282">
        <f>IF(UPPER(BASELINE!$C$13)="JUSTIFIKASI",VLOOKUP(BASELINE!$C$7,'FAKTOR KOREKSI'!$C$11:$M$44,8,FALSE),1)</f>
        <v>1.3011999999999999</v>
      </c>
      <c r="E37" s="98">
        <f>SUM('POLA KONSUMSI'!$H$48:$H$49)</f>
        <v>93.98587168614138</v>
      </c>
      <c r="F37" s="98">
        <f t="shared" si="4"/>
        <v>3.7284837701639373</v>
      </c>
      <c r="G37" s="288">
        <f>E37/BASELINE!$C$16*100</f>
        <v>4.6992935843070693</v>
      </c>
      <c r="H37" s="98">
        <f>SUM('POLA KONSUMSI'!$I$48:$I$49)</f>
        <v>6.5039186314772412E-3</v>
      </c>
      <c r="I37" s="98">
        <f t="shared" si="5"/>
        <v>8.3428709551559635E-3</v>
      </c>
      <c r="J37" s="288">
        <f>H37/BASELINE!$C$17*100</f>
        <v>1.2507535829763924E-2</v>
      </c>
    </row>
    <row r="38" spans="2:10" ht="12" customHeight="1" x14ac:dyDescent="0.15">
      <c r="B38" s="96">
        <v>8</v>
      </c>
      <c r="C38" s="97" t="s">
        <v>182</v>
      </c>
      <c r="D38" s="282">
        <f>IF(UPPER(BASELINE!$C$13)="JUSTIFIKASI",VLOOKUP(BASELINE!$C$7,'FAKTOR KOREKSI'!$C$11:$M$44,9,FALSE),1)</f>
        <v>1.4048</v>
      </c>
      <c r="E38" s="98">
        <f>SUM('POLA KONSUMSI'!$H$52:$H$53)</f>
        <v>72.159192883550261</v>
      </c>
      <c r="F38" s="98">
        <f t="shared" si="4"/>
        <v>2.8626045032906577</v>
      </c>
      <c r="G38" s="288">
        <f>E38/BASELINE!$C$16*100</f>
        <v>3.6079596441775128</v>
      </c>
      <c r="H38" s="98">
        <f>SUM('POLA KONSUMSI'!$I$52:$I$53)</f>
        <v>3.3981599162511644</v>
      </c>
      <c r="I38" s="98">
        <f>$H38/$H$41*100</f>
        <v>4.3589736084732964</v>
      </c>
      <c r="J38" s="288">
        <f>H38/BASELINE!$C$17*100</f>
        <v>6.5349229158676234</v>
      </c>
    </row>
    <row r="39" spans="2:10" ht="12" customHeight="1" x14ac:dyDescent="0.15">
      <c r="B39" s="96">
        <v>9</v>
      </c>
      <c r="C39" s="97" t="s">
        <v>183</v>
      </c>
      <c r="D39" s="282">
        <f>IF(UPPER(BASELINE!$C$13)="JUSTIFIKASI",VLOOKUP(BASELINE!$C$7,'FAKTOR KOREKSI'!$C$11:$M$44,10,FALSE),1)</f>
        <v>1.2181999999999999</v>
      </c>
      <c r="E39" s="98">
        <f>SUM('POLA KONSUMSI'!$H$56:$H$57)</f>
        <v>221.92690324662132</v>
      </c>
      <c r="F39" s="98">
        <f t="shared" si="4"/>
        <v>8.803991941267288</v>
      </c>
      <c r="G39" s="288">
        <f>E39/BASELINE!$C$16*100</f>
        <v>11.096345162331065</v>
      </c>
      <c r="H39" s="98">
        <f>SUM('POLA KONSUMSI'!$I$56:$I$57)</f>
        <v>6.9618946791553924</v>
      </c>
      <c r="I39" s="98">
        <f t="shared" si="5"/>
        <v>8.9303375707189776</v>
      </c>
      <c r="J39" s="288">
        <f>H39/BASELINE!$C$17*100</f>
        <v>13.388258998375754</v>
      </c>
    </row>
    <row r="40" spans="2:10" ht="12" customHeight="1" x14ac:dyDescent="0.15">
      <c r="B40" s="96"/>
      <c r="C40" s="96"/>
      <c r="D40" s="96"/>
      <c r="E40" s="296"/>
      <c r="F40" s="296"/>
      <c r="G40" s="297"/>
      <c r="H40" s="298"/>
      <c r="I40" s="298"/>
      <c r="J40" s="297"/>
    </row>
    <row r="41" spans="2:10" ht="12" customHeight="1" x14ac:dyDescent="0.15">
      <c r="B41" s="96"/>
      <c r="C41" s="285" t="s">
        <v>184</v>
      </c>
      <c r="D41" s="286"/>
      <c r="E41" s="287">
        <f t="shared" ref="E41" si="6">SUM(E31:E39)</f>
        <v>2520.7531393387003</v>
      </c>
      <c r="F41" s="287">
        <f t="shared" ref="F41:J41" si="7">SUM(F31:F39)</f>
        <v>100</v>
      </c>
      <c r="G41" s="288">
        <f t="shared" si="7"/>
        <v>126.037656966935</v>
      </c>
      <c r="H41" s="288">
        <f t="shared" si="7"/>
        <v>77.957799736285821</v>
      </c>
      <c r="I41" s="288">
        <f t="shared" si="7"/>
        <v>99.999999999999986</v>
      </c>
      <c r="J41" s="288">
        <f t="shared" si="7"/>
        <v>149.91884564670352</v>
      </c>
    </row>
    <row r="42" spans="2:10" ht="12" customHeight="1" x14ac:dyDescent="0.15">
      <c r="B42" s="103"/>
      <c r="C42" s="106"/>
      <c r="D42" s="289"/>
      <c r="E42" s="290"/>
      <c r="F42" s="290"/>
      <c r="G42" s="290"/>
      <c r="H42" s="290"/>
      <c r="I42" s="290"/>
      <c r="J42" s="290"/>
    </row>
    <row r="43" spans="2:10" ht="12" customHeight="1" x14ac:dyDescent="0.2">
      <c r="B43" s="92"/>
      <c r="E43" s="303"/>
      <c r="F43" s="303"/>
      <c r="G43" s="303"/>
      <c r="H43" s="303"/>
      <c r="I43" s="303"/>
      <c r="J43" s="303"/>
    </row>
    <row r="44" spans="2:10" ht="12" customHeight="1" x14ac:dyDescent="0.15">
      <c r="B44" s="271"/>
      <c r="C44" s="4"/>
      <c r="D44" s="271"/>
      <c r="E44" s="300"/>
      <c r="F44" s="300"/>
      <c r="G44" s="300"/>
      <c r="H44" s="300"/>
      <c r="I44" s="300"/>
      <c r="J44" s="301" t="s">
        <v>431</v>
      </c>
    </row>
    <row r="45" spans="2:10" ht="12" customHeight="1" x14ac:dyDescent="0.15">
      <c r="B45" s="271"/>
      <c r="C45" s="4"/>
      <c r="D45" s="271"/>
      <c r="E45" s="300"/>
      <c r="F45" s="300"/>
      <c r="G45" s="300"/>
      <c r="H45" s="300"/>
      <c r="I45" s="300"/>
      <c r="J45" s="300"/>
    </row>
    <row r="46" spans="2:10" ht="12" customHeight="1" x14ac:dyDescent="0.15">
      <c r="B46" s="380" t="s">
        <v>170</v>
      </c>
      <c r="C46" s="382" t="s">
        <v>171</v>
      </c>
      <c r="D46" s="382" t="s">
        <v>400</v>
      </c>
      <c r="E46" s="377" t="s">
        <v>442</v>
      </c>
      <c r="F46" s="378"/>
      <c r="G46" s="379"/>
      <c r="H46" s="377" t="s">
        <v>458</v>
      </c>
      <c r="I46" s="378"/>
      <c r="J46" s="379"/>
    </row>
    <row r="47" spans="2:10" ht="12" customHeight="1" x14ac:dyDescent="0.2">
      <c r="B47" s="381"/>
      <c r="C47" s="383"/>
      <c r="D47" s="383"/>
      <c r="E47" s="276" t="s">
        <v>459</v>
      </c>
      <c r="F47" s="276" t="s">
        <v>172</v>
      </c>
      <c r="G47" s="277" t="s">
        <v>195</v>
      </c>
      <c r="H47" s="276" t="s">
        <v>460</v>
      </c>
      <c r="I47" s="276" t="s">
        <v>172</v>
      </c>
      <c r="J47" s="277" t="s">
        <v>1</v>
      </c>
    </row>
    <row r="48" spans="2:10" ht="12" customHeight="1" x14ac:dyDescent="0.2">
      <c r="B48" s="279"/>
      <c r="C48" s="279"/>
      <c r="D48" s="279"/>
      <c r="E48" s="305"/>
      <c r="F48" s="305"/>
      <c r="G48" s="306"/>
      <c r="H48" s="307"/>
      <c r="I48" s="307"/>
      <c r="J48" s="306"/>
    </row>
    <row r="49" spans="2:12" ht="12" customHeight="1" x14ac:dyDescent="0.15">
      <c r="B49" s="96">
        <v>1</v>
      </c>
      <c r="C49" s="97" t="s">
        <v>175</v>
      </c>
      <c r="D49" s="282">
        <f>IF(UPPER(BASELINE!$C$13)="JUSTIFIKASI",VLOOKUP(BASELINE!$C$7,'FAKTOR KOREKSI'!$C$11:$M$44,2,FALSE),1)</f>
        <v>1.0383</v>
      </c>
      <c r="E49" s="98">
        <f>SUM('POLA KONSUMSI'!$L$14:$L$16)</f>
        <v>1419.1962038938414</v>
      </c>
      <c r="F49" s="98">
        <f>$E49/$E$59*100</f>
        <v>50.497420691114712</v>
      </c>
      <c r="G49" s="288">
        <f>E49/BASELINE!$C$16*100</f>
        <v>70.959810194692068</v>
      </c>
      <c r="H49" s="98">
        <f>SUM('POLA KONSUMSI'!$M$14:$M$16)</f>
        <v>32.790062112839628</v>
      </c>
      <c r="I49" s="98">
        <f>$H49/$H$59*100</f>
        <v>37.072612025816952</v>
      </c>
      <c r="J49" s="288">
        <f>H49/BASELINE!$C$17*100</f>
        <v>63.057811755460826</v>
      </c>
    </row>
    <row r="50" spans="2:12" ht="12" customHeight="1" x14ac:dyDescent="0.15">
      <c r="B50" s="96">
        <v>2</v>
      </c>
      <c r="C50" s="97" t="s">
        <v>176</v>
      </c>
      <c r="D50" s="282">
        <f>IF(UPPER(BASELINE!$C$13)="JUSTIFIKASI",VLOOKUP(BASELINE!$C$7,'FAKTOR KOREKSI'!$C$11:$M$44,3,FALSE),1)</f>
        <v>0.9657</v>
      </c>
      <c r="E50" s="98">
        <f>SUM('POLA KONSUMSI'!$L$19:$L$23)</f>
        <v>16.962685145730951</v>
      </c>
      <c r="F50" s="98">
        <f t="shared" ref="F50:F57" si="8">$E50/$E$59*100</f>
        <v>0.60356125918652159</v>
      </c>
      <c r="G50" s="288">
        <f>E50/BASELINE!$C$16*100</f>
        <v>0.84813425728654745</v>
      </c>
      <c r="H50" s="98">
        <f>SUM('POLA KONSUMSI'!$M$19:$M$23)</f>
        <v>0.39939431779770879</v>
      </c>
      <c r="I50" s="98">
        <f t="shared" ref="I50:I57" si="9">$H50/$H$59*100</f>
        <v>0.45155725957690301</v>
      </c>
      <c r="J50" s="288">
        <f>H50/BASELINE!$C$17*100</f>
        <v>0.76806599576482459</v>
      </c>
      <c r="L50" s="274"/>
    </row>
    <row r="51" spans="2:12" ht="12" customHeight="1" x14ac:dyDescent="0.15">
      <c r="B51" s="96">
        <v>3</v>
      </c>
      <c r="C51" s="97" t="s">
        <v>177</v>
      </c>
      <c r="D51" s="282">
        <f>IF(UPPER(BASELINE!$C$13)="JUSTIFIKASI",VLOOKUP(BASELINE!$C$7,'FAKTOR KOREKSI'!$C$11:$M$44,4,FALSE),1)</f>
        <v>1.0833999999999999</v>
      </c>
      <c r="E51" s="98">
        <f>SUM('POLA KONSUMSI'!$L$26:$L$30)</f>
        <v>416.80827341556187</v>
      </c>
      <c r="F51" s="98">
        <f t="shared" si="8"/>
        <v>14.830749034174563</v>
      </c>
      <c r="G51" s="288">
        <f>E51/BASELINE!$C$16*100</f>
        <v>20.840413670778094</v>
      </c>
      <c r="H51" s="98">
        <f>SUM('POLA KONSUMSI'!$M$26:$M$30)</f>
        <v>38.263257314761027</v>
      </c>
      <c r="I51" s="98">
        <f t="shared" si="9"/>
        <v>43.26063452983481</v>
      </c>
      <c r="J51" s="288">
        <f>H51/BASELINE!$C$17*100</f>
        <v>73.583187143771212</v>
      </c>
    </row>
    <row r="52" spans="2:12" ht="12" customHeight="1" x14ac:dyDescent="0.15">
      <c r="B52" s="96">
        <v>4</v>
      </c>
      <c r="C52" s="97" t="s">
        <v>178</v>
      </c>
      <c r="D52" s="282">
        <f>IF(UPPER(BASELINE!$C$13)="JUSTIFIKASI",VLOOKUP(BASELINE!$C$7,'FAKTOR KOREKSI'!$C$11:$M$44,5,FALSE),1)</f>
        <v>1.1267</v>
      </c>
      <c r="E52" s="98">
        <f>SUM('POLA KONSUMSI'!$L$33:$L$35)</f>
        <v>314.81513655331491</v>
      </c>
      <c r="F52" s="98">
        <f t="shared" si="8"/>
        <v>11.201659324373884</v>
      </c>
      <c r="G52" s="288">
        <f>E52/BASELINE!$C$16*100</f>
        <v>15.740756827665745</v>
      </c>
      <c r="H52" s="98">
        <f>SUM('POLA KONSUMSI'!$M$33:$M$35)</f>
        <v>2.2433807635859906E-3</v>
      </c>
      <c r="I52" s="98">
        <f t="shared" si="9"/>
        <v>2.5363777716675404E-3</v>
      </c>
      <c r="J52" s="288">
        <f>H52/BASELINE!$C$17*100</f>
        <v>4.314193776126905E-3</v>
      </c>
    </row>
    <row r="53" spans="2:12" ht="12" customHeight="1" x14ac:dyDescent="0.15">
      <c r="B53" s="96">
        <v>5</v>
      </c>
      <c r="C53" s="97" t="s">
        <v>179</v>
      </c>
      <c r="D53" s="282">
        <f>IF(UPPER(BASELINE!$C$13)="JUSTIFIKASI",VLOOKUP(BASELINE!$C$7,'FAKTOR KOREKSI'!$C$11:$M$44,6,FALSE),1)</f>
        <v>1.4052</v>
      </c>
      <c r="E53" s="98">
        <f>SUM('POLA KONSUMSI'!$L$38:$L$39)</f>
        <v>176.05121664945457</v>
      </c>
      <c r="F53" s="98">
        <f t="shared" si="8"/>
        <v>6.2642024590668113</v>
      </c>
      <c r="G53" s="288">
        <f>E53/BASELINE!$C$16*100</f>
        <v>8.8025608324727287</v>
      </c>
      <c r="H53" s="98">
        <f>SUM('POLA KONSUMSI'!$M$38:$M$39)</f>
        <v>2.1318442090886083</v>
      </c>
      <c r="I53" s="98">
        <f t="shared" si="9"/>
        <v>2.410273972371634</v>
      </c>
      <c r="J53" s="288">
        <f>H53/BASELINE!$C$17*100</f>
        <v>4.0997004020934771</v>
      </c>
    </row>
    <row r="54" spans="2:12" ht="12" customHeight="1" x14ac:dyDescent="0.15">
      <c r="B54" s="96">
        <v>6</v>
      </c>
      <c r="C54" s="97" t="s">
        <v>180</v>
      </c>
      <c r="D54" s="282">
        <f>IF(UPPER(BASELINE!$C$13)="JUSTIFIKASI",VLOOKUP(BASELINE!$C$7,'FAKTOR KOREKSI'!$C$11:$M$44,7,FALSE),1)</f>
        <v>1.5347</v>
      </c>
      <c r="E54" s="98">
        <f>SUM('POLA KONSUMSI'!$L$42:$L$45)</f>
        <v>29.796893029001399</v>
      </c>
      <c r="F54" s="98">
        <f t="shared" si="8"/>
        <v>1.0602242582422936</v>
      </c>
      <c r="G54" s="288">
        <f>E54/BASELINE!$C$16*100</f>
        <v>1.4898446514500701</v>
      </c>
      <c r="H54" s="98">
        <f>SUM('POLA KONSUMSI'!$M$42:$M$45)</f>
        <v>3.1736266852840398</v>
      </c>
      <c r="I54" s="98">
        <f>$H54/$H$59*100</f>
        <v>3.5881185712132146</v>
      </c>
      <c r="J54" s="288">
        <f>H54/BASELINE!$C$17*100</f>
        <v>6.1031282409308458</v>
      </c>
    </row>
    <row r="55" spans="2:12" ht="12" customHeight="1" x14ac:dyDescent="0.15">
      <c r="B55" s="96">
        <v>7</v>
      </c>
      <c r="C55" s="97" t="s">
        <v>181</v>
      </c>
      <c r="D55" s="282">
        <f>IF(UPPER(BASELINE!$C$13)="JUSTIFIKASI",VLOOKUP(BASELINE!$C$7,'FAKTOR KOREKSI'!$C$11:$M$44,8,FALSE),1)</f>
        <v>1.3011999999999999</v>
      </c>
      <c r="E55" s="98">
        <f>SUM('POLA KONSUMSI'!$L$48:$L$49)</f>
        <v>105.78390890468532</v>
      </c>
      <c r="F55" s="98">
        <f t="shared" si="8"/>
        <v>3.7639718424092035</v>
      </c>
      <c r="G55" s="288">
        <f>E55/BASELINE!$C$16*100</f>
        <v>5.2891954452342658</v>
      </c>
      <c r="H55" s="98">
        <f>SUM('POLA KONSUMSI'!$M$48:$M$49)</f>
        <v>7.5391984253946913E-3</v>
      </c>
      <c r="I55" s="98">
        <f t="shared" si="9"/>
        <v>8.5238563211157917E-3</v>
      </c>
      <c r="J55" s="288">
        <f>H55/BASELINE!$C$17*100</f>
        <v>1.4498458510374406E-2</v>
      </c>
    </row>
    <row r="56" spans="2:12" ht="12" customHeight="1" x14ac:dyDescent="0.15">
      <c r="B56" s="96">
        <v>8</v>
      </c>
      <c r="C56" s="97" t="s">
        <v>182</v>
      </c>
      <c r="D56" s="282">
        <f>IF(UPPER(BASELINE!$C$13)="JUSTIFIKASI",VLOOKUP(BASELINE!$C$7,'FAKTOR KOREKSI'!$C$11:$M$44,9,FALSE),1)</f>
        <v>1.4048</v>
      </c>
      <c r="E56" s="98">
        <f>SUM('POLA KONSUMSI'!$L$52:$L$53)</f>
        <v>87.894121440499291</v>
      </c>
      <c r="F56" s="98">
        <f t="shared" si="8"/>
        <v>3.1274227020049303</v>
      </c>
      <c r="G56" s="288">
        <f>E56/BASELINE!$C$16*100</f>
        <v>4.3947060720249649</v>
      </c>
      <c r="H56" s="98">
        <f>SUM('POLA KONSUMSI'!$M$52:$M$53)</f>
        <v>4.0230187863052924</v>
      </c>
      <c r="I56" s="98">
        <f t="shared" si="9"/>
        <v>4.5484456273374603</v>
      </c>
      <c r="J56" s="288">
        <f>H56/BASELINE!$C$17*100</f>
        <v>7.7365745890486393</v>
      </c>
    </row>
    <row r="57" spans="2:12" ht="12" customHeight="1" x14ac:dyDescent="0.15">
      <c r="B57" s="96">
        <v>9</v>
      </c>
      <c r="C57" s="97" t="s">
        <v>183</v>
      </c>
      <c r="D57" s="282">
        <f>IF(UPPER(BASELINE!$C$13)="JUSTIFIKASI",VLOOKUP(BASELINE!$C$7,'FAKTOR KOREKSI'!$C$11:$M$44,10,FALSE),1)</f>
        <v>1.2181999999999999</v>
      </c>
      <c r="E57" s="98">
        <f>SUM('POLA KONSUMSI'!$L$56:$L$57)</f>
        <v>243.12461768749156</v>
      </c>
      <c r="F57" s="98">
        <f t="shared" si="8"/>
        <v>8.650788429427088</v>
      </c>
      <c r="G57" s="288">
        <f>E57/BASELINE!$C$16*100</f>
        <v>12.156230884374578</v>
      </c>
      <c r="H57" s="98">
        <f>SUM('POLA KONSUMSI'!$M$56:$M$57)</f>
        <v>7.6572250083125954</v>
      </c>
      <c r="I57" s="98">
        <f t="shared" si="9"/>
        <v>8.6572977797562434</v>
      </c>
      <c r="J57" s="288">
        <f>H57/BASELINE!$C$17*100</f>
        <v>14.725432708293454</v>
      </c>
    </row>
    <row r="58" spans="2:12" ht="12" customHeight="1" x14ac:dyDescent="0.15">
      <c r="B58" s="96"/>
      <c r="C58" s="96"/>
      <c r="D58" s="96"/>
      <c r="E58" s="296"/>
      <c r="F58" s="296"/>
      <c r="G58" s="297"/>
      <c r="H58" s="298"/>
      <c r="I58" s="298"/>
      <c r="J58" s="297"/>
    </row>
    <row r="59" spans="2:12" ht="12" customHeight="1" x14ac:dyDescent="0.15">
      <c r="B59" s="96"/>
      <c r="C59" s="285" t="s">
        <v>184</v>
      </c>
      <c r="D59" s="286"/>
      <c r="E59" s="287">
        <f t="shared" ref="E59" si="10">SUM(E49:E57)</f>
        <v>2810.4330567195811</v>
      </c>
      <c r="F59" s="287">
        <f t="shared" ref="F59:J59" si="11">SUM(F49:F57)</f>
        <v>100</v>
      </c>
      <c r="G59" s="288">
        <f t="shared" si="11"/>
        <v>140.52165283597904</v>
      </c>
      <c r="H59" s="288">
        <f t="shared" si="11"/>
        <v>88.448211013577875</v>
      </c>
      <c r="I59" s="288">
        <f t="shared" si="11"/>
        <v>100</v>
      </c>
      <c r="J59" s="288">
        <f t="shared" si="11"/>
        <v>170.0927134876498</v>
      </c>
    </row>
    <row r="60" spans="2:12" ht="12" customHeight="1" x14ac:dyDescent="0.15">
      <c r="B60" s="103"/>
      <c r="C60" s="106"/>
      <c r="D60" s="289"/>
      <c r="E60" s="290"/>
      <c r="F60" s="290"/>
      <c r="G60" s="290"/>
      <c r="H60" s="290"/>
      <c r="I60" s="290"/>
      <c r="J60" s="290"/>
    </row>
    <row r="61" spans="2:12" ht="12" customHeight="1" x14ac:dyDescent="0.15">
      <c r="B61" s="291" t="s">
        <v>440</v>
      </c>
      <c r="C61" s="292"/>
      <c r="D61" s="293"/>
      <c r="E61" s="294">
        <f>BASELINE!$C$16</f>
        <v>2000</v>
      </c>
      <c r="F61" s="295" t="s">
        <v>462</v>
      </c>
      <c r="G61" s="290"/>
      <c r="H61" s="290"/>
      <c r="I61" s="290"/>
      <c r="J61" s="290"/>
    </row>
    <row r="62" spans="2:12" ht="12" customHeight="1" x14ac:dyDescent="0.15">
      <c r="B62" s="291" t="s">
        <v>441</v>
      </c>
      <c r="C62" s="292"/>
      <c r="D62" s="293"/>
      <c r="E62" s="294">
        <f>BASELINE!$C$17</f>
        <v>52</v>
      </c>
      <c r="F62" s="295" t="s">
        <v>463</v>
      </c>
      <c r="H62" s="290"/>
      <c r="I62" s="290"/>
      <c r="J62" s="295"/>
    </row>
    <row r="63" spans="2:12" ht="12" customHeight="1" x14ac:dyDescent="0.2">
      <c r="B63" s="92"/>
    </row>
    <row r="64" spans="2:12" ht="12" customHeight="1" x14ac:dyDescent="0.2">
      <c r="B64" s="92"/>
    </row>
    <row r="65" spans="2:2" ht="12" customHeight="1" x14ac:dyDescent="0.2">
      <c r="B65" s="92"/>
    </row>
    <row r="66" spans="2:2" ht="12" customHeight="1" x14ac:dyDescent="0.2">
      <c r="B66" s="92"/>
    </row>
    <row r="67" spans="2:2" ht="12" customHeight="1" x14ac:dyDescent="0.2">
      <c r="B67" s="92"/>
    </row>
    <row r="68" spans="2:2" ht="12" customHeight="1" x14ac:dyDescent="0.2">
      <c r="B68" s="92"/>
    </row>
    <row r="69" spans="2:2" ht="12" customHeight="1" x14ac:dyDescent="0.2">
      <c r="B69" s="92"/>
    </row>
    <row r="70" spans="2:2" ht="12" customHeight="1" x14ac:dyDescent="0.2">
      <c r="B70" s="92"/>
    </row>
    <row r="71" spans="2:2" ht="12" customHeight="1" x14ac:dyDescent="0.2">
      <c r="B71" s="92"/>
    </row>
    <row r="72" spans="2:2" ht="12" customHeight="1" x14ac:dyDescent="0.2">
      <c r="B72" s="92"/>
    </row>
    <row r="73" spans="2:2" ht="12" customHeight="1" x14ac:dyDescent="0.2">
      <c r="B73" s="92"/>
    </row>
    <row r="74" spans="2:2" ht="12" customHeight="1" x14ac:dyDescent="0.2">
      <c r="B74" s="92"/>
    </row>
  </sheetData>
  <mergeCells count="16">
    <mergeCell ref="H10:J10"/>
    <mergeCell ref="B2:F2"/>
    <mergeCell ref="B10:B11"/>
    <mergeCell ref="C10:C11"/>
    <mergeCell ref="D10:D11"/>
    <mergeCell ref="E10:G10"/>
    <mergeCell ref="E28:G28"/>
    <mergeCell ref="H28:J28"/>
    <mergeCell ref="E46:G46"/>
    <mergeCell ref="H46:J46"/>
    <mergeCell ref="B28:B29"/>
    <mergeCell ref="C28:C29"/>
    <mergeCell ref="D28:D29"/>
    <mergeCell ref="B46:B47"/>
    <mergeCell ref="C46:C47"/>
    <mergeCell ref="D46:D47"/>
  </mergeCells>
  <pageMargins left="0.7" right="0.7" top="0.75" bottom="0.75" header="0.3" footer="0.3"/>
  <pageSetup paperSize="9" scale="70" fitToWidth="0" orientation="landscape"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2:O76"/>
  <sheetViews>
    <sheetView topLeftCell="F1" zoomScale="90" zoomScaleNormal="90" workbookViewId="0">
      <selection activeCell="I55" sqref="I55"/>
    </sheetView>
  </sheetViews>
  <sheetFormatPr defaultRowHeight="12" customHeight="1" x14ac:dyDescent="0.2"/>
  <cols>
    <col min="1" max="1" width="12.42578125" style="92" customWidth="1"/>
    <col min="2" max="2" width="5.85546875" style="110" customWidth="1"/>
    <col min="3" max="3" width="37.42578125" style="92" customWidth="1"/>
    <col min="4" max="4" width="11.42578125" style="110" hidden="1" customWidth="1"/>
    <col min="5" max="5" width="19.28515625" style="92" customWidth="1"/>
    <col min="6" max="13" width="15.42578125" style="92" customWidth="1"/>
    <col min="14" max="16384" width="9.140625" style="92"/>
  </cols>
  <sheetData>
    <row r="2" spans="2:15" ht="12" customHeight="1" x14ac:dyDescent="0.15">
      <c r="B2" s="384"/>
      <c r="C2" s="384"/>
      <c r="D2" s="384"/>
      <c r="E2" s="384"/>
      <c r="F2" s="384"/>
      <c r="G2" s="384"/>
    </row>
    <row r="4" spans="2:15" ht="12" customHeight="1" x14ac:dyDescent="0.15">
      <c r="B4" s="270" t="str">
        <f>UPPER(BASELINE!$C$8)</f>
        <v>BADAN KETAHANAN PANGAN DAN PENYULUHAN</v>
      </c>
      <c r="C4" s="4"/>
      <c r="D4" s="271"/>
      <c r="E4" s="4"/>
      <c r="F4" s="4"/>
      <c r="G4" s="4"/>
      <c r="H4" s="4"/>
      <c r="I4" s="4"/>
      <c r="J4" s="4"/>
      <c r="K4" s="4"/>
      <c r="L4" s="4"/>
      <c r="M4" s="272" t="str">
        <f>UPPER(CONCATENATE("ANGKA ", BASELINE!$C$13," SKOR POLA PANGAN HARAPAN KONSUMSI PANGAN PENDUDUK"))</f>
        <v>ANGKA JUSTIFIKASI SKOR POLA PANGAN HARAPAN KONSUMSI PANGAN PENDUDUK</v>
      </c>
    </row>
    <row r="5" spans="2:15" ht="12" customHeight="1" x14ac:dyDescent="0.15">
      <c r="B5" s="270" t="str">
        <f>UPPER(CONCATENATE(IF(UPPER(BASELINE!$C$7)="INDONESIA","KEMENTRIAN PERTANIAN","PROPINSI "),BASELINE!$C$7))</f>
        <v>PROPINSI SUMATERA BARAT</v>
      </c>
      <c r="C5" s="4"/>
      <c r="D5" s="271"/>
      <c r="E5" s="4"/>
      <c r="I5" s="93"/>
      <c r="J5" s="93"/>
      <c r="K5" s="5"/>
      <c r="L5" s="273"/>
      <c r="M5" s="272" t="s">
        <v>395</v>
      </c>
    </row>
    <row r="6" spans="2:15" ht="12" customHeight="1" x14ac:dyDescent="0.15">
      <c r="B6" s="270" t="str">
        <f>UPPER(BASELINE!$C$9)</f>
        <v>JL H AGUS SALIM PAINAN</v>
      </c>
      <c r="C6" s="4"/>
      <c r="D6" s="271"/>
      <c r="E6" s="4"/>
      <c r="F6" s="274"/>
      <c r="M6" s="272" t="str">
        <f>UPPER(CONCATENATE(IF(UPPER(BASELINE!$C$7)="INDONESIA","","PROPINSI "),BASELINE!$C$7," TAHUN ",BASELINE!$C$12))</f>
        <v>PROPINSI SUMATERA BARAT TAHUN 2015</v>
      </c>
    </row>
    <row r="7" spans="2:15" ht="12" customHeight="1" x14ac:dyDescent="0.15">
      <c r="B7" s="271"/>
      <c r="C7" s="4"/>
      <c r="D7" s="271"/>
      <c r="E7" s="4"/>
      <c r="F7" s="275"/>
      <c r="G7" s="4"/>
      <c r="H7" s="4"/>
      <c r="I7" s="4"/>
      <c r="J7" s="4"/>
      <c r="K7" s="4"/>
      <c r="L7" s="4"/>
      <c r="M7" s="4"/>
    </row>
    <row r="8" spans="2:15" ht="12" customHeight="1" x14ac:dyDescent="0.15">
      <c r="B8" s="271"/>
      <c r="C8" s="4"/>
      <c r="D8" s="271"/>
      <c r="E8" s="4"/>
      <c r="F8" s="275"/>
      <c r="G8" s="4"/>
      <c r="H8" s="4"/>
      <c r="I8" s="4"/>
      <c r="J8" s="4"/>
      <c r="K8" s="4"/>
      <c r="L8" s="4"/>
      <c r="M8" s="272" t="s">
        <v>429</v>
      </c>
    </row>
    <row r="9" spans="2:15" ht="12" customHeight="1" x14ac:dyDescent="0.15">
      <c r="B9" s="271"/>
      <c r="C9" s="4"/>
      <c r="D9" s="271"/>
      <c r="E9" s="4"/>
      <c r="F9" s="275"/>
      <c r="G9" s="4"/>
      <c r="H9" s="4"/>
      <c r="I9" s="4"/>
      <c r="J9" s="4"/>
      <c r="K9" s="4"/>
      <c r="L9" s="4"/>
      <c r="M9" s="4"/>
    </row>
    <row r="10" spans="2:15" ht="12" customHeight="1" x14ac:dyDescent="0.15">
      <c r="B10" s="380" t="s">
        <v>170</v>
      </c>
      <c r="C10" s="382" t="s">
        <v>171</v>
      </c>
      <c r="D10" s="382" t="s">
        <v>400</v>
      </c>
      <c r="E10" s="385" t="s">
        <v>461</v>
      </c>
      <c r="F10" s="377" t="s">
        <v>197</v>
      </c>
      <c r="G10" s="378"/>
      <c r="H10" s="378"/>
      <c r="I10" s="378"/>
      <c r="J10" s="378"/>
      <c r="K10" s="378"/>
      <c r="L10" s="378"/>
      <c r="M10" s="379"/>
    </row>
    <row r="11" spans="2:15" ht="12" customHeight="1" x14ac:dyDescent="0.2">
      <c r="B11" s="381"/>
      <c r="C11" s="383"/>
      <c r="D11" s="383"/>
      <c r="E11" s="386"/>
      <c r="F11" s="276" t="s">
        <v>459</v>
      </c>
      <c r="G11" s="276" t="s">
        <v>172</v>
      </c>
      <c r="H11" s="277" t="s">
        <v>195</v>
      </c>
      <c r="I11" s="276" t="s">
        <v>173</v>
      </c>
      <c r="J11" s="278" t="s">
        <v>194</v>
      </c>
      <c r="K11" s="276" t="s">
        <v>192</v>
      </c>
      <c r="L11" s="276" t="s">
        <v>193</v>
      </c>
      <c r="M11" s="276" t="s">
        <v>174</v>
      </c>
    </row>
    <row r="12" spans="2:15" ht="12" customHeight="1" x14ac:dyDescent="0.2">
      <c r="B12" s="279"/>
      <c r="C12" s="279"/>
      <c r="D12" s="279"/>
      <c r="E12" s="279"/>
      <c r="F12" s="279"/>
      <c r="G12" s="279"/>
      <c r="H12" s="280"/>
      <c r="I12" s="281"/>
      <c r="J12" s="281"/>
      <c r="K12" s="281"/>
      <c r="L12" s="281"/>
      <c r="M12" s="280"/>
    </row>
    <row r="13" spans="2:15" ht="12" customHeight="1" x14ac:dyDescent="0.15">
      <c r="B13" s="96">
        <v>1</v>
      </c>
      <c r="C13" s="97" t="s">
        <v>175</v>
      </c>
      <c r="D13" s="282">
        <f>IF(UPPER(BASELINE!$C$13)="JUSTIFIKASI",VLOOKUP(BASELINE!$C$7,'FAKTOR KOREKSI'!$C$11:$L$44,2,FALSE),1)</f>
        <v>1.0383</v>
      </c>
      <c r="E13" s="283">
        <f>SUM('POLA KONSUMSI'!$F$14:$F$16)</f>
        <v>235.79556553133213</v>
      </c>
      <c r="F13" s="98">
        <f>SUM('POLA KONSUMSI'!$D$14:$D$16)</f>
        <v>118.33622949638863</v>
      </c>
      <c r="G13" s="98">
        <f t="shared" ref="G13:G21" si="0">$F13/$F$23*100</f>
        <v>40.850684633686853</v>
      </c>
      <c r="H13" s="288">
        <f>F13/BASELINE!$C$16*100</f>
        <v>5.9168114748194309</v>
      </c>
      <c r="I13" s="284">
        <v>0.5</v>
      </c>
      <c r="J13" s="284">
        <f t="shared" ref="J13:J20" si="1">G13*I13</f>
        <v>20.425342316843427</v>
      </c>
      <c r="K13" s="284">
        <f t="shared" ref="K13:K20" si="2">H13*I13</f>
        <v>2.9584057374097155</v>
      </c>
      <c r="L13" s="284">
        <v>25</v>
      </c>
      <c r="M13" s="288">
        <f t="shared" ref="M13:M21" si="3">IF(K13&gt;L13,L13,K13)</f>
        <v>2.9584057374097155</v>
      </c>
    </row>
    <row r="14" spans="2:15" ht="12" customHeight="1" x14ac:dyDescent="0.15">
      <c r="B14" s="96">
        <v>2</v>
      </c>
      <c r="C14" s="97" t="s">
        <v>176</v>
      </c>
      <c r="D14" s="282">
        <f>IF(UPPER(BASELINE!$C$13)="JUSTIFIKASI",VLOOKUP(BASELINE!$C$7,'FAKTOR KOREKSI'!$C$11:$L$44,3,FALSE),1)</f>
        <v>0.9657</v>
      </c>
      <c r="E14" s="283">
        <f>SUM('POLA KONSUMSI'!$F$19:$F$23)</f>
        <v>3.5652648253329335</v>
      </c>
      <c r="F14" s="98">
        <f>SUM('POLA KONSUMSI'!$D$19:$D$23)</f>
        <v>2.5145158506882126</v>
      </c>
      <c r="G14" s="98">
        <f t="shared" si="0"/>
        <v>0.86803250754246641</v>
      </c>
      <c r="H14" s="288">
        <f>F14/BASELINE!$C$16*100</f>
        <v>0.12572579253441063</v>
      </c>
      <c r="I14" s="284">
        <v>0.5</v>
      </c>
      <c r="J14" s="284">
        <f t="shared" si="1"/>
        <v>0.43401625377123321</v>
      </c>
      <c r="K14" s="284">
        <f>H14*I14</f>
        <v>6.2862896267205315E-2</v>
      </c>
      <c r="L14" s="284">
        <v>2.5</v>
      </c>
      <c r="M14" s="288">
        <f t="shared" si="3"/>
        <v>6.2862896267205315E-2</v>
      </c>
      <c r="O14" s="274"/>
    </row>
    <row r="15" spans="2:15" ht="12" customHeight="1" x14ac:dyDescent="0.15">
      <c r="B15" s="96">
        <v>3</v>
      </c>
      <c r="C15" s="97" t="s">
        <v>177</v>
      </c>
      <c r="D15" s="282">
        <f>IF(UPPER(BASELINE!$C$13)="JUSTIFIKASI",VLOOKUP(BASELINE!$C$7,'FAKTOR KOREKSI'!$C$11:$L$44,4,FALSE),1)</f>
        <v>1.0833999999999999</v>
      </c>
      <c r="E15" s="283">
        <f>SUM('POLA KONSUMSI'!$F$26:$F$30)</f>
        <v>46.0356817955807</v>
      </c>
      <c r="F15" s="98">
        <f>SUM('POLA KONSUMSI'!$D$26:$D$30)</f>
        <v>66.71186697989674</v>
      </c>
      <c r="G15" s="98">
        <f t="shared" si="0"/>
        <v>23.029510496642938</v>
      </c>
      <c r="H15" s="288">
        <f>F15/BASELINE!$C$16*100</f>
        <v>3.3355933489948373</v>
      </c>
      <c r="I15" s="284">
        <v>2</v>
      </c>
      <c r="J15" s="284">
        <f t="shared" si="1"/>
        <v>46.059020993285877</v>
      </c>
      <c r="K15" s="284">
        <f t="shared" si="2"/>
        <v>6.6711866979896746</v>
      </c>
      <c r="L15" s="284">
        <v>24</v>
      </c>
      <c r="M15" s="288">
        <f t="shared" si="3"/>
        <v>6.6711866979896746</v>
      </c>
    </row>
    <row r="16" spans="2:15" ht="12" customHeight="1" x14ac:dyDescent="0.15">
      <c r="B16" s="96">
        <v>4</v>
      </c>
      <c r="C16" s="97" t="s">
        <v>178</v>
      </c>
      <c r="D16" s="282">
        <f>IF(UPPER(BASELINE!$C$13)="JUSTIFIKASI",VLOOKUP(BASELINE!$C$7,'FAKTOR KOREKSI'!$C$11:$L$44,5,FALSE),1)</f>
        <v>1.1267</v>
      </c>
      <c r="E16" s="283">
        <f>SUM('POLA KONSUMSI'!$F$33:$F$35)</f>
        <v>4.0150227657919553</v>
      </c>
      <c r="F16" s="98">
        <f>SUM('POLA KONSUMSI'!$D$33:$D$35)</f>
        <v>36.206119816188583</v>
      </c>
      <c r="G16" s="98">
        <f>$F16/$F$23*100</f>
        <v>12.498664092265484</v>
      </c>
      <c r="H16" s="288">
        <f>F16/BASELINE!$C$16*100</f>
        <v>1.8103059908094292</v>
      </c>
      <c r="I16" s="284">
        <v>0.5</v>
      </c>
      <c r="J16" s="284">
        <f t="shared" si="1"/>
        <v>6.249332046132742</v>
      </c>
      <c r="K16" s="284">
        <f>H16*I16</f>
        <v>0.90515299540471461</v>
      </c>
      <c r="L16" s="284">
        <v>5</v>
      </c>
      <c r="M16" s="288">
        <f t="shared" si="3"/>
        <v>0.90515299540471461</v>
      </c>
    </row>
    <row r="17" spans="2:15" ht="12" customHeight="1" x14ac:dyDescent="0.15">
      <c r="B17" s="96">
        <v>5</v>
      </c>
      <c r="C17" s="97" t="s">
        <v>179</v>
      </c>
      <c r="D17" s="282">
        <f>IF(UPPER(BASELINE!$C$13)="JUSTIFIKASI",VLOOKUP(BASELINE!$C$7,'FAKTOR KOREKSI'!$C$11:$L$44,6,FALSE),1)</f>
        <v>1.4052</v>
      </c>
      <c r="E17" s="283">
        <f>SUM('POLA KONSUMSI'!$F$38:$F$39)</f>
        <v>2.2742684540463718</v>
      </c>
      <c r="F17" s="98">
        <f>SUM('POLA KONSUMSI'!$D$38:$D$39)</f>
        <v>13.089769247332462</v>
      </c>
      <c r="G17" s="98">
        <f t="shared" si="0"/>
        <v>4.5187009737100814</v>
      </c>
      <c r="H17" s="288">
        <f>F17/BASELINE!$C$16*100</f>
        <v>0.65448846236662317</v>
      </c>
      <c r="I17" s="284">
        <v>0.5</v>
      </c>
      <c r="J17" s="284">
        <f t="shared" si="1"/>
        <v>2.2593504868550407</v>
      </c>
      <c r="K17" s="284">
        <f t="shared" si="2"/>
        <v>0.32724423118331158</v>
      </c>
      <c r="L17" s="284">
        <v>1</v>
      </c>
      <c r="M17" s="288">
        <f t="shared" si="3"/>
        <v>0.32724423118331158</v>
      </c>
    </row>
    <row r="18" spans="2:15" ht="12" customHeight="1" x14ac:dyDescent="0.15">
      <c r="B18" s="96">
        <v>6</v>
      </c>
      <c r="C18" s="97" t="s">
        <v>180</v>
      </c>
      <c r="D18" s="282">
        <f>IF(UPPER(BASELINE!$C$13)="JUSTIFIKASI",VLOOKUP(BASELINE!$C$7,'FAKTOR KOREKSI'!$C$11:$L$44,7,FALSE),1)</f>
        <v>1.5347</v>
      </c>
      <c r="E18" s="283">
        <f>SUM('POLA KONSUMSI'!$F$42:$F$45)</f>
        <v>1.8400334892121308</v>
      </c>
      <c r="F18" s="98">
        <f>SUM('POLA KONSUMSI'!$D$42:$D$45)</f>
        <v>4.090735774023762</v>
      </c>
      <c r="G18" s="98">
        <f t="shared" si="0"/>
        <v>1.4121571874950218</v>
      </c>
      <c r="H18" s="288">
        <f>F18/BASELINE!$C$16*100</f>
        <v>0.20453678870118808</v>
      </c>
      <c r="I18" s="284">
        <v>2</v>
      </c>
      <c r="J18" s="284">
        <f t="shared" si="1"/>
        <v>2.8243143749900437</v>
      </c>
      <c r="K18" s="284">
        <f t="shared" si="2"/>
        <v>0.40907357740237615</v>
      </c>
      <c r="L18" s="284">
        <v>10</v>
      </c>
      <c r="M18" s="288">
        <f t="shared" si="3"/>
        <v>0.40907357740237615</v>
      </c>
    </row>
    <row r="19" spans="2:15" ht="12" customHeight="1" x14ac:dyDescent="0.15">
      <c r="B19" s="96">
        <v>7</v>
      </c>
      <c r="C19" s="97" t="s">
        <v>181</v>
      </c>
      <c r="D19" s="282">
        <f>IF(UPPER(BASELINE!$C$13)="JUSTIFIKASI",VLOOKUP(BASELINE!$C$7,'FAKTOR KOREKSI'!$C$11:$L$44,8,FALSE),1)</f>
        <v>1.3011999999999999</v>
      </c>
      <c r="E19" s="283">
        <f>SUM('POLA KONSUMSI'!$F$48:$F$49)</f>
        <v>3.2399865401383683</v>
      </c>
      <c r="F19" s="98">
        <f>SUM('POLA KONSUMSI'!$D$48:$D$49)</f>
        <v>11.798037218543969</v>
      </c>
      <c r="G19" s="98">
        <f t="shared" si="0"/>
        <v>4.0727839628010809</v>
      </c>
      <c r="H19" s="288">
        <f>F19/BASELINE!$C$16*100</f>
        <v>0.58990186092719854</v>
      </c>
      <c r="I19" s="284">
        <v>0.5</v>
      </c>
      <c r="J19" s="284">
        <f t="shared" si="1"/>
        <v>2.0363919814005405</v>
      </c>
      <c r="K19" s="284">
        <f t="shared" si="2"/>
        <v>0.29495093046359927</v>
      </c>
      <c r="L19" s="284">
        <v>2.5</v>
      </c>
      <c r="M19" s="288">
        <f t="shared" si="3"/>
        <v>0.29495093046359927</v>
      </c>
    </row>
    <row r="20" spans="2:15" ht="12" customHeight="1" x14ac:dyDescent="0.15">
      <c r="B20" s="96">
        <v>8</v>
      </c>
      <c r="C20" s="97" t="s">
        <v>182</v>
      </c>
      <c r="D20" s="282">
        <f>IF(UPPER(BASELINE!$C$13)="JUSTIFIKASI",VLOOKUP(BASELINE!$C$7,'FAKTOR KOREKSI'!$C$11:$L$44,9,FALSE),1)</f>
        <v>1.4048</v>
      </c>
      <c r="E20" s="283">
        <f>SUM('POLA KONSUMSI'!$F$52:$F$53)</f>
        <v>25.861715180253192</v>
      </c>
      <c r="F20" s="98">
        <f>SUM('POLA KONSUMSI'!$D$52:$D$53)</f>
        <v>15.734928556949082</v>
      </c>
      <c r="G20" s="98">
        <f t="shared" si="0"/>
        <v>5.4318327273824183</v>
      </c>
      <c r="H20" s="288">
        <f>F20/BASELINE!$C$16*100</f>
        <v>0.78674642784745419</v>
      </c>
      <c r="I20" s="284">
        <v>5</v>
      </c>
      <c r="J20" s="284">
        <f t="shared" si="1"/>
        <v>27.159163636912091</v>
      </c>
      <c r="K20" s="284">
        <f t="shared" si="2"/>
        <v>3.9337321392372711</v>
      </c>
      <c r="L20" s="284">
        <v>30</v>
      </c>
      <c r="M20" s="288">
        <f t="shared" si="3"/>
        <v>3.9337321392372711</v>
      </c>
    </row>
    <row r="21" spans="2:15" ht="12" customHeight="1" x14ac:dyDescent="0.15">
      <c r="B21" s="96">
        <v>9</v>
      </c>
      <c r="C21" s="97" t="s">
        <v>183</v>
      </c>
      <c r="D21" s="282">
        <f>IF(UPPER(BASELINE!$C$13)="JUSTIFIKASI",VLOOKUP(BASELINE!$C$7,'FAKTOR KOREKSI'!$C$11:$L$44,10,FALSE),1)</f>
        <v>1.2181999999999999</v>
      </c>
      <c r="E21" s="283">
        <f>SUM('POLA KONSUMSI'!$F$56:$F$57)</f>
        <v>85.788050654919559</v>
      </c>
      <c r="F21" s="98">
        <f>SUM('POLA KONSUMSI'!$D$56:$D$57)</f>
        <v>21.197714440870243</v>
      </c>
      <c r="G21" s="98">
        <f t="shared" si="0"/>
        <v>7.317633418473644</v>
      </c>
      <c r="H21" s="288">
        <f>F21/BASELINE!$C$16*100</f>
        <v>1.0598857220435121</v>
      </c>
      <c r="I21" s="284">
        <v>0</v>
      </c>
      <c r="J21" s="284">
        <v>0</v>
      </c>
      <c r="K21" s="284">
        <f>H21*I21</f>
        <v>0</v>
      </c>
      <c r="L21" s="284">
        <v>0</v>
      </c>
      <c r="M21" s="288">
        <f t="shared" si="3"/>
        <v>0</v>
      </c>
    </row>
    <row r="22" spans="2:15" ht="12" customHeight="1" x14ac:dyDescent="0.15">
      <c r="B22" s="96"/>
      <c r="C22" s="96"/>
      <c r="D22" s="96"/>
      <c r="E22" s="96"/>
      <c r="F22" s="296"/>
      <c r="G22" s="296"/>
      <c r="H22" s="297"/>
      <c r="I22" s="298"/>
      <c r="J22" s="298"/>
      <c r="K22" s="298"/>
      <c r="L22" s="298"/>
      <c r="M22" s="297"/>
    </row>
    <row r="23" spans="2:15" ht="12" customHeight="1" x14ac:dyDescent="0.15">
      <c r="B23" s="96"/>
      <c r="C23" s="285" t="s">
        <v>184</v>
      </c>
      <c r="D23" s="286"/>
      <c r="E23" s="285"/>
      <c r="F23" s="287">
        <f>SUM(F13:F21)</f>
        <v>289.6799173808817</v>
      </c>
      <c r="G23" s="287">
        <f>SUM(G13:G21)</f>
        <v>100</v>
      </c>
      <c r="H23" s="288">
        <f>SUM(H13:H21)</f>
        <v>14.483995869044087</v>
      </c>
      <c r="I23" s="288"/>
      <c r="J23" s="288">
        <f>SUM(J13:J21)</f>
        <v>107.44693209019098</v>
      </c>
      <c r="K23" s="288">
        <f>SUM(K13:K21)</f>
        <v>15.562609205357868</v>
      </c>
      <c r="L23" s="288">
        <f>SUM(L13:L21)</f>
        <v>100</v>
      </c>
      <c r="M23" s="288">
        <f>SUM(M13:M21)</f>
        <v>15.562609205357868</v>
      </c>
    </row>
    <row r="24" spans="2:15" ht="12" customHeight="1" x14ac:dyDescent="0.15">
      <c r="B24" s="103"/>
      <c r="C24" s="106"/>
      <c r="D24" s="289"/>
      <c r="E24" s="106"/>
      <c r="F24" s="290"/>
      <c r="G24" s="290"/>
      <c r="H24" s="290"/>
      <c r="I24" s="290"/>
      <c r="J24" s="290"/>
      <c r="K24" s="290"/>
      <c r="L24" s="290"/>
      <c r="M24" s="290"/>
    </row>
    <row r="25" spans="2:15" ht="12" customHeight="1" x14ac:dyDescent="0.15">
      <c r="F25" s="299"/>
      <c r="G25" s="299"/>
      <c r="H25" s="299"/>
      <c r="I25" s="300"/>
      <c r="J25" s="301"/>
      <c r="K25" s="302"/>
      <c r="L25" s="303"/>
      <c r="M25" s="303"/>
    </row>
    <row r="26" spans="2:15" ht="12" customHeight="1" x14ac:dyDescent="0.15">
      <c r="B26" s="271"/>
      <c r="C26" s="4"/>
      <c r="D26" s="271"/>
      <c r="E26" s="4"/>
      <c r="F26" s="300"/>
      <c r="G26" s="300"/>
      <c r="H26" s="300"/>
      <c r="I26" s="300"/>
      <c r="J26" s="300"/>
      <c r="K26" s="300"/>
      <c r="L26" s="300"/>
      <c r="M26" s="301" t="s">
        <v>430</v>
      </c>
    </row>
    <row r="27" spans="2:15" ht="12" customHeight="1" x14ac:dyDescent="0.15">
      <c r="B27" s="271"/>
      <c r="C27" s="4"/>
      <c r="D27" s="271"/>
      <c r="E27" s="4"/>
      <c r="F27" s="300"/>
      <c r="G27" s="300"/>
      <c r="H27" s="300"/>
      <c r="I27" s="300"/>
      <c r="J27" s="300"/>
      <c r="K27" s="300"/>
      <c r="L27" s="300"/>
      <c r="M27" s="300"/>
    </row>
    <row r="28" spans="2:15" ht="12" customHeight="1" x14ac:dyDescent="0.15">
      <c r="B28" s="380" t="s">
        <v>170</v>
      </c>
      <c r="C28" s="382" t="s">
        <v>171</v>
      </c>
      <c r="D28" s="382" t="s">
        <v>400</v>
      </c>
      <c r="E28" s="385" t="s">
        <v>461</v>
      </c>
      <c r="F28" s="387" t="s">
        <v>197</v>
      </c>
      <c r="G28" s="388"/>
      <c r="H28" s="388"/>
      <c r="I28" s="388"/>
      <c r="J28" s="388"/>
      <c r="K28" s="388"/>
      <c r="L28" s="388"/>
      <c r="M28" s="389"/>
    </row>
    <row r="29" spans="2:15" ht="12" customHeight="1" x14ac:dyDescent="0.2">
      <c r="B29" s="381"/>
      <c r="C29" s="383"/>
      <c r="D29" s="383"/>
      <c r="E29" s="386"/>
      <c r="F29" s="276" t="s">
        <v>426</v>
      </c>
      <c r="G29" s="304" t="s">
        <v>172</v>
      </c>
      <c r="H29" s="304" t="s">
        <v>195</v>
      </c>
      <c r="I29" s="304" t="s">
        <v>173</v>
      </c>
      <c r="J29" s="304" t="s">
        <v>194</v>
      </c>
      <c r="K29" s="304" t="s">
        <v>192</v>
      </c>
      <c r="L29" s="304" t="s">
        <v>193</v>
      </c>
      <c r="M29" s="304" t="s">
        <v>174</v>
      </c>
    </row>
    <row r="30" spans="2:15" ht="12" customHeight="1" x14ac:dyDescent="0.2">
      <c r="B30" s="279"/>
      <c r="C30" s="279"/>
      <c r="D30" s="279"/>
      <c r="E30" s="279"/>
      <c r="F30" s="305"/>
      <c r="G30" s="305"/>
      <c r="H30" s="306"/>
      <c r="I30" s="307"/>
      <c r="J30" s="307"/>
      <c r="K30" s="307"/>
      <c r="L30" s="307"/>
      <c r="M30" s="306"/>
    </row>
    <row r="31" spans="2:15" ht="12" customHeight="1" x14ac:dyDescent="0.15">
      <c r="B31" s="96">
        <v>1</v>
      </c>
      <c r="C31" s="97" t="s">
        <v>175</v>
      </c>
      <c r="D31" s="282">
        <f>IF(UPPER(BASELINE!$C$13)="JUSTIFIKASI",VLOOKUP(BASELINE!$C$7,'FAKTOR KOREKSI'!$C$11:$L$44,2,FALSE),1)</f>
        <v>1.0383</v>
      </c>
      <c r="E31" s="283">
        <f>SUM('POLA KONSUMSI'!$J$14:$J$16)</f>
        <v>341.99241581618634</v>
      </c>
      <c r="F31" s="98">
        <f>SUM('POLA KONSUMSI'!$H$14:$H$16)</f>
        <v>1300.859974397453</v>
      </c>
      <c r="G31" s="98">
        <f>$F31/$F$41*100</f>
        <v>51.606004336415246</v>
      </c>
      <c r="H31" s="288">
        <f>F31/BASELINE!$C$16*100</f>
        <v>65.042998719872642</v>
      </c>
      <c r="I31" s="284">
        <v>0.5</v>
      </c>
      <c r="J31" s="284">
        <f t="shared" ref="J31:J38" si="4">G31*I31</f>
        <v>25.803002168207623</v>
      </c>
      <c r="K31" s="284">
        <f t="shared" ref="K31:K39" si="5">H31*I31</f>
        <v>32.521499359936321</v>
      </c>
      <c r="L31" s="284">
        <v>25</v>
      </c>
      <c r="M31" s="288">
        <f t="shared" ref="M31:M39" si="6">IF(K31&gt;L31,L31,K31)</f>
        <v>25</v>
      </c>
    </row>
    <row r="32" spans="2:15" ht="12" customHeight="1" x14ac:dyDescent="0.15">
      <c r="B32" s="96">
        <v>2</v>
      </c>
      <c r="C32" s="97" t="s">
        <v>176</v>
      </c>
      <c r="D32" s="282">
        <f>IF(UPPER(BASELINE!$C$13)="JUSTIFIKASI",VLOOKUP(BASELINE!$C$7,'FAKTOR KOREKSI'!$C$11:$L$44,3,FALSE),1)</f>
        <v>0.9657</v>
      </c>
      <c r="E32" s="283">
        <f>SUM('POLA KONSUMSI'!$J$19:$J$23)</f>
        <v>21.275248762295782</v>
      </c>
      <c r="F32" s="98">
        <f>SUM('POLA KONSUMSI'!$H$19:$H$23)</f>
        <v>14.448169295042744</v>
      </c>
      <c r="G32" s="98">
        <f t="shared" ref="G32:G39" si="7">$F32/$F$41*100</f>
        <v>0.57316875141661461</v>
      </c>
      <c r="H32" s="288">
        <f>F32/BASELINE!$C$16*100</f>
        <v>0.72240846475213716</v>
      </c>
      <c r="I32" s="284">
        <v>0.5</v>
      </c>
      <c r="J32" s="284">
        <f t="shared" si="4"/>
        <v>0.2865843757083073</v>
      </c>
      <c r="K32" s="284">
        <f t="shared" si="5"/>
        <v>0.36120423237606858</v>
      </c>
      <c r="L32" s="284">
        <v>2.5</v>
      </c>
      <c r="M32" s="288">
        <f t="shared" si="6"/>
        <v>0.36120423237606858</v>
      </c>
      <c r="O32" s="274"/>
    </row>
    <row r="33" spans="2:13" ht="12" customHeight="1" x14ac:dyDescent="0.15">
      <c r="B33" s="96">
        <v>3</v>
      </c>
      <c r="C33" s="97" t="s">
        <v>177</v>
      </c>
      <c r="D33" s="282">
        <f>IF(UPPER(BASELINE!$C$13)="JUSTIFIKASI",VLOOKUP(BASELINE!$C$7,'FAKTOR KOREKSI'!$C$11:$L$44,4,FALSE),1)</f>
        <v>1.0833999999999999</v>
      </c>
      <c r="E33" s="283">
        <f>SUM('POLA KONSUMSI'!$J$26:$J$30)</f>
        <v>258.13503925457292</v>
      </c>
      <c r="F33" s="98">
        <f>SUM('POLA KONSUMSI'!$H$26:$H$30)</f>
        <v>350.0964064356653</v>
      </c>
      <c r="G33" s="98">
        <f t="shared" si="7"/>
        <v>13.888563738038636</v>
      </c>
      <c r="H33" s="288">
        <f>F33/BASELINE!$C$16*100</f>
        <v>17.504820321783264</v>
      </c>
      <c r="I33" s="284">
        <v>2</v>
      </c>
      <c r="J33" s="284">
        <f t="shared" si="4"/>
        <v>27.777127476077272</v>
      </c>
      <c r="K33" s="284">
        <f t="shared" si="5"/>
        <v>35.009640643566527</v>
      </c>
      <c r="L33" s="284">
        <v>24</v>
      </c>
      <c r="M33" s="288">
        <f t="shared" si="6"/>
        <v>24</v>
      </c>
    </row>
    <row r="34" spans="2:13" ht="12" customHeight="1" x14ac:dyDescent="0.15">
      <c r="B34" s="96">
        <v>4</v>
      </c>
      <c r="C34" s="97" t="s">
        <v>178</v>
      </c>
      <c r="D34" s="282">
        <f>IF(UPPER(BASELINE!$C$13)="JUSTIFIKASI",VLOOKUP(BASELINE!$C$7,'FAKTOR KOREKSI'!$C$11:$L$44,5,FALSE),1)</f>
        <v>1.1267</v>
      </c>
      <c r="E34" s="283">
        <f>SUM('POLA KONSUMSI'!$J$33:$J$35)</f>
        <v>30.89483585258386</v>
      </c>
      <c r="F34" s="98">
        <f>SUM('POLA KONSUMSI'!$H$33:$H$35)</f>
        <v>278.60901673712652</v>
      </c>
      <c r="G34" s="98">
        <f t="shared" si="7"/>
        <v>11.052610126282234</v>
      </c>
      <c r="H34" s="288">
        <f>F34/BASELINE!$C$16*100</f>
        <v>13.930450836856325</v>
      </c>
      <c r="I34" s="284">
        <v>0.5</v>
      </c>
      <c r="J34" s="284">
        <f t="shared" si="4"/>
        <v>5.526305063141117</v>
      </c>
      <c r="K34" s="284">
        <f t="shared" si="5"/>
        <v>6.9652254184281626</v>
      </c>
      <c r="L34" s="284">
        <v>5</v>
      </c>
      <c r="M34" s="288">
        <f t="shared" si="6"/>
        <v>5</v>
      </c>
    </row>
    <row r="35" spans="2:13" ht="12" customHeight="1" x14ac:dyDescent="0.15">
      <c r="B35" s="96">
        <v>5</v>
      </c>
      <c r="C35" s="97" t="s">
        <v>179</v>
      </c>
      <c r="D35" s="282">
        <f>IF(UPPER(BASELINE!$C$13)="JUSTIFIKASI",VLOOKUP(BASELINE!$C$7,'FAKTOR KOREKSI'!$C$11:$L$44,6,FALSE),1)</f>
        <v>1.4052</v>
      </c>
      <c r="E35" s="283">
        <f>SUM('POLA KONSUMSI'!$J$38:$J$39)</f>
        <v>29.99994399218825</v>
      </c>
      <c r="F35" s="98">
        <f>SUM('POLA KONSUMSI'!$H$38:$H$39)</f>
        <v>162.96144740212219</v>
      </c>
      <c r="G35" s="98">
        <f t="shared" si="7"/>
        <v>6.4647920043798432</v>
      </c>
      <c r="H35" s="288">
        <f>F35/BASELINE!$C$16*100</f>
        <v>8.1480723701061084</v>
      </c>
      <c r="I35" s="284">
        <v>0.5</v>
      </c>
      <c r="J35" s="284">
        <f t="shared" si="4"/>
        <v>3.2323960021899216</v>
      </c>
      <c r="K35" s="284">
        <f t="shared" si="5"/>
        <v>4.0740361850530542</v>
      </c>
      <c r="L35" s="284">
        <v>1</v>
      </c>
      <c r="M35" s="288">
        <f t="shared" si="6"/>
        <v>1</v>
      </c>
    </row>
    <row r="36" spans="2:13" ht="12" customHeight="1" x14ac:dyDescent="0.15">
      <c r="B36" s="96">
        <v>6</v>
      </c>
      <c r="C36" s="97" t="s">
        <v>180</v>
      </c>
      <c r="D36" s="282">
        <f>IF(UPPER(BASELINE!$C$13)="JUSTIFIKASI",VLOOKUP(BASELINE!$C$7,'FAKTOR KOREKSI'!$C$11:$L$44,7,FALSE),1)</f>
        <v>1.5347</v>
      </c>
      <c r="E36" s="283">
        <f>SUM('POLA KONSUMSI'!$J$42:$J$45)</f>
        <v>10.580352839377019</v>
      </c>
      <c r="F36" s="98">
        <f>SUM('POLA KONSUMSI'!$H$42:$H$45)</f>
        <v>25.70615725497764</v>
      </c>
      <c r="G36" s="98">
        <f t="shared" si="7"/>
        <v>1.019780828745549</v>
      </c>
      <c r="H36" s="288">
        <f>F36/BASELINE!$C$16*100</f>
        <v>1.2853078627488821</v>
      </c>
      <c r="I36" s="284">
        <v>2</v>
      </c>
      <c r="J36" s="284">
        <f t="shared" si="4"/>
        <v>2.039561657491098</v>
      </c>
      <c r="K36" s="284">
        <f t="shared" si="5"/>
        <v>2.5706157254977642</v>
      </c>
      <c r="L36" s="284">
        <v>10</v>
      </c>
      <c r="M36" s="288">
        <f t="shared" si="6"/>
        <v>2.5706157254977642</v>
      </c>
    </row>
    <row r="37" spans="2:13" ht="12" customHeight="1" x14ac:dyDescent="0.15">
      <c r="B37" s="96">
        <v>7</v>
      </c>
      <c r="C37" s="97" t="s">
        <v>181</v>
      </c>
      <c r="D37" s="282">
        <f>IF(UPPER(BASELINE!$C$13)="JUSTIFIKASI",VLOOKUP(BASELINE!$C$7,'FAKTOR KOREKSI'!$C$11:$L$44,8,FALSE),1)</f>
        <v>1.3011999999999999</v>
      </c>
      <c r="E37" s="283">
        <f>SUM('POLA KONSUMSI'!$J$48:$J$49)</f>
        <v>25.812551658994042</v>
      </c>
      <c r="F37" s="98">
        <f>SUM('POLA KONSUMSI'!$H$48:$H$49)</f>
        <v>93.98587168614138</v>
      </c>
      <c r="G37" s="98">
        <f>$F37/$F$41*100</f>
        <v>3.7284837701639373</v>
      </c>
      <c r="H37" s="288">
        <f>F37/BASELINE!$C$16*100</f>
        <v>4.6992935843070693</v>
      </c>
      <c r="I37" s="284">
        <v>0.5</v>
      </c>
      <c r="J37" s="284">
        <f t="shared" si="4"/>
        <v>1.8642418850819686</v>
      </c>
      <c r="K37" s="284">
        <f t="shared" si="5"/>
        <v>2.3496467921535347</v>
      </c>
      <c r="L37" s="284">
        <v>2.5</v>
      </c>
      <c r="M37" s="288">
        <f t="shared" si="6"/>
        <v>2.3496467921535347</v>
      </c>
    </row>
    <row r="38" spans="2:13" ht="12" customHeight="1" x14ac:dyDescent="0.15">
      <c r="B38" s="96">
        <v>8</v>
      </c>
      <c r="C38" s="97" t="s">
        <v>182</v>
      </c>
      <c r="D38" s="282">
        <f>IF(UPPER(BASELINE!$C$13)="JUSTIFIKASI",VLOOKUP(BASELINE!$C$7,'FAKTOR KOREKSI'!$C$11:$L$44,9,FALSE),1)</f>
        <v>1.4048</v>
      </c>
      <c r="E38" s="283">
        <f>SUM('POLA KONSUMSI'!$J$52:$J$53)</f>
        <v>150.14374606086113</v>
      </c>
      <c r="F38" s="98">
        <f>SUM('POLA KONSUMSI'!$H$52:$H$53)</f>
        <v>72.159192883550261</v>
      </c>
      <c r="G38" s="98">
        <f t="shared" si="7"/>
        <v>2.8626045032906577</v>
      </c>
      <c r="H38" s="288">
        <f>F38/BASELINE!$C$16*100</f>
        <v>3.6079596441775128</v>
      </c>
      <c r="I38" s="284">
        <v>5</v>
      </c>
      <c r="J38" s="284">
        <f t="shared" si="4"/>
        <v>14.313022516453289</v>
      </c>
      <c r="K38" s="284">
        <f t="shared" si="5"/>
        <v>18.039798220887565</v>
      </c>
      <c r="L38" s="284">
        <v>30</v>
      </c>
      <c r="M38" s="288">
        <f t="shared" si="6"/>
        <v>18.039798220887565</v>
      </c>
    </row>
    <row r="39" spans="2:13" ht="12" customHeight="1" x14ac:dyDescent="0.15">
      <c r="B39" s="96">
        <v>9</v>
      </c>
      <c r="C39" s="97" t="s">
        <v>183</v>
      </c>
      <c r="D39" s="282">
        <f>IF(UPPER(BASELINE!$C$13)="JUSTIFIKASI",VLOOKUP(BASELINE!$C$7,'FAKTOR KOREKSI'!$C$11:$L$44,10,FALSE),1)</f>
        <v>1.2181999999999999</v>
      </c>
      <c r="E39" s="283">
        <f>SUM('POLA KONSUMSI'!$J$56:$J$57)</f>
        <v>939.38370221932041</v>
      </c>
      <c r="F39" s="98">
        <f>SUM('POLA KONSUMSI'!$H$56:$H$57)</f>
        <v>221.92690324662132</v>
      </c>
      <c r="G39" s="98">
        <f t="shared" si="7"/>
        <v>8.803991941267288</v>
      </c>
      <c r="H39" s="288">
        <f>F39/BASELINE!$C$16*100</f>
        <v>11.096345162331065</v>
      </c>
      <c r="I39" s="284">
        <v>0</v>
      </c>
      <c r="J39" s="284">
        <v>0</v>
      </c>
      <c r="K39" s="284">
        <f t="shared" si="5"/>
        <v>0</v>
      </c>
      <c r="L39" s="284">
        <v>0</v>
      </c>
      <c r="M39" s="288">
        <f t="shared" si="6"/>
        <v>0</v>
      </c>
    </row>
    <row r="40" spans="2:13" ht="12" customHeight="1" x14ac:dyDescent="0.15">
      <c r="B40" s="96"/>
      <c r="C40" s="96"/>
      <c r="D40" s="96"/>
      <c r="E40" s="96"/>
      <c r="F40" s="296"/>
      <c r="G40" s="296"/>
      <c r="H40" s="297"/>
      <c r="I40" s="298"/>
      <c r="J40" s="298"/>
      <c r="K40" s="298"/>
      <c r="L40" s="298"/>
      <c r="M40" s="297"/>
    </row>
    <row r="41" spans="2:13" ht="12" customHeight="1" x14ac:dyDescent="0.15">
      <c r="B41" s="96"/>
      <c r="C41" s="285" t="s">
        <v>184</v>
      </c>
      <c r="D41" s="286"/>
      <c r="E41" s="285"/>
      <c r="F41" s="287">
        <f>SUM(F31:F39)</f>
        <v>2520.7531393387003</v>
      </c>
      <c r="G41" s="287">
        <f>SUM(G31:G39)</f>
        <v>100</v>
      </c>
      <c r="H41" s="288">
        <f>SUM(H31:H39)</f>
        <v>126.037656966935</v>
      </c>
      <c r="I41" s="288"/>
      <c r="J41" s="288">
        <f>SUM(J31:J39)</f>
        <v>80.842241144350595</v>
      </c>
      <c r="K41" s="288">
        <f>SUM(K31:K39)</f>
        <v>101.89166657789899</v>
      </c>
      <c r="L41" s="288">
        <f>SUM(L31:L39)</f>
        <v>100</v>
      </c>
      <c r="M41" s="288">
        <f>SUM(M31:M39)</f>
        <v>78.321264970914939</v>
      </c>
    </row>
    <row r="42" spans="2:13" ht="12" customHeight="1" x14ac:dyDescent="0.15">
      <c r="B42" s="103"/>
      <c r="C42" s="106"/>
      <c r="D42" s="289"/>
      <c r="E42" s="106"/>
      <c r="F42" s="290"/>
      <c r="G42" s="290"/>
      <c r="H42" s="290"/>
      <c r="I42" s="290"/>
      <c r="J42" s="290"/>
      <c r="K42" s="290"/>
      <c r="L42" s="290"/>
      <c r="M42" s="290"/>
    </row>
    <row r="43" spans="2:13" ht="12" customHeight="1" x14ac:dyDescent="0.2">
      <c r="B43" s="92"/>
      <c r="F43" s="303"/>
      <c r="G43" s="303"/>
      <c r="H43" s="303"/>
      <c r="I43" s="303"/>
      <c r="J43" s="303"/>
      <c r="K43" s="303"/>
      <c r="L43" s="303"/>
      <c r="M43" s="303"/>
    </row>
    <row r="44" spans="2:13" ht="12" customHeight="1" x14ac:dyDescent="0.15">
      <c r="B44" s="271"/>
      <c r="C44" s="4"/>
      <c r="D44" s="271"/>
      <c r="E44" s="4"/>
      <c r="F44" s="300"/>
      <c r="G44" s="300"/>
      <c r="H44" s="300"/>
      <c r="I44" s="300"/>
      <c r="J44" s="300"/>
      <c r="K44" s="300"/>
      <c r="L44" s="300"/>
      <c r="M44" s="301" t="s">
        <v>431</v>
      </c>
    </row>
    <row r="45" spans="2:13" ht="12" customHeight="1" x14ac:dyDescent="0.15">
      <c r="B45" s="271"/>
      <c r="C45" s="4"/>
      <c r="D45" s="271"/>
      <c r="E45" s="4"/>
      <c r="F45" s="300"/>
      <c r="G45" s="300"/>
      <c r="H45" s="300"/>
      <c r="I45" s="300"/>
      <c r="J45" s="300"/>
      <c r="K45" s="300"/>
      <c r="L45" s="300"/>
      <c r="M45" s="300"/>
    </row>
    <row r="46" spans="2:13" ht="12" customHeight="1" x14ac:dyDescent="0.15">
      <c r="B46" s="380" t="s">
        <v>170</v>
      </c>
      <c r="C46" s="382" t="s">
        <v>171</v>
      </c>
      <c r="D46" s="382" t="s">
        <v>400</v>
      </c>
      <c r="E46" s="385" t="s">
        <v>461</v>
      </c>
      <c r="F46" s="387" t="s">
        <v>197</v>
      </c>
      <c r="G46" s="388"/>
      <c r="H46" s="388"/>
      <c r="I46" s="388"/>
      <c r="J46" s="388"/>
      <c r="K46" s="388"/>
      <c r="L46" s="388"/>
      <c r="M46" s="389"/>
    </row>
    <row r="47" spans="2:13" ht="12" customHeight="1" x14ac:dyDescent="0.2">
      <c r="B47" s="381"/>
      <c r="C47" s="383"/>
      <c r="D47" s="383"/>
      <c r="E47" s="386"/>
      <c r="F47" s="276" t="s">
        <v>426</v>
      </c>
      <c r="G47" s="304" t="s">
        <v>172</v>
      </c>
      <c r="H47" s="304" t="s">
        <v>195</v>
      </c>
      <c r="I47" s="304" t="s">
        <v>173</v>
      </c>
      <c r="J47" s="304" t="s">
        <v>194</v>
      </c>
      <c r="K47" s="304" t="s">
        <v>192</v>
      </c>
      <c r="L47" s="304" t="s">
        <v>193</v>
      </c>
      <c r="M47" s="304" t="s">
        <v>174</v>
      </c>
    </row>
    <row r="48" spans="2:13" ht="12" customHeight="1" x14ac:dyDescent="0.2">
      <c r="B48" s="279"/>
      <c r="C48" s="279"/>
      <c r="D48" s="279"/>
      <c r="E48" s="279"/>
      <c r="F48" s="305"/>
      <c r="G48" s="305"/>
      <c r="H48" s="306"/>
      <c r="I48" s="307"/>
      <c r="J48" s="307"/>
      <c r="K48" s="307"/>
      <c r="L48" s="307"/>
      <c r="M48" s="306"/>
    </row>
    <row r="49" spans="2:15" ht="12" customHeight="1" x14ac:dyDescent="0.15">
      <c r="B49" s="96">
        <v>1</v>
      </c>
      <c r="C49" s="97" t="s">
        <v>175</v>
      </c>
      <c r="D49" s="282">
        <f>IF(UPPER(BASELINE!$C$13)="JUSTIFIKASI",VLOOKUP(BASELINE!$C$7,'FAKTOR KOREKSI'!$C$11:$L$44,2,FALSE),1)</f>
        <v>1.0383</v>
      </c>
      <c r="E49" s="283">
        <f>SUM('POLA KONSUMSI'!$N$14:$N$16)</f>
        <v>373.58745019998037</v>
      </c>
      <c r="F49" s="98">
        <f>SUM('POLA KONSUMSI'!$L$14:$L$16)</f>
        <v>1419.1962038938414</v>
      </c>
      <c r="G49" s="98">
        <f>$F49/$F$59*100</f>
        <v>50.497420691114712</v>
      </c>
      <c r="H49" s="288">
        <f>F49/BASELINE!$C$16*100</f>
        <v>70.959810194692068</v>
      </c>
      <c r="I49" s="284">
        <v>0.5</v>
      </c>
      <c r="J49" s="284">
        <f t="shared" ref="J49:J56" si="8">G49*I49</f>
        <v>25.248710345557356</v>
      </c>
      <c r="K49" s="284">
        <f t="shared" ref="K49:K57" si="9">H49*I49</f>
        <v>35.479905097346034</v>
      </c>
      <c r="L49" s="284">
        <v>25</v>
      </c>
      <c r="M49" s="288">
        <f t="shared" ref="M49:M57" si="10">IF(K49&gt;L49,L49,K49)</f>
        <v>25</v>
      </c>
    </row>
    <row r="50" spans="2:15" ht="12" customHeight="1" x14ac:dyDescent="0.15">
      <c r="B50" s="96">
        <v>2</v>
      </c>
      <c r="C50" s="97" t="s">
        <v>176</v>
      </c>
      <c r="D50" s="282">
        <f>IF(UPPER(BASELINE!$C$13)="JUSTIFIKASI",VLOOKUP(BASELINE!$C$7,'FAKTOR KOREKSI'!$C$11:$L$44,3,FALSE),1)</f>
        <v>0.9657</v>
      </c>
      <c r="E50" s="283">
        <f>SUM('POLA KONSUMSI'!$N$19:$N$23)</f>
        <v>24.840513587628706</v>
      </c>
      <c r="F50" s="98">
        <f>SUM('POLA KONSUMSI'!$L$19:$L$23)</f>
        <v>16.962685145730951</v>
      </c>
      <c r="G50" s="98">
        <f t="shared" ref="G50:G57" si="11">$F50/$F$59*100</f>
        <v>0.60356125918652159</v>
      </c>
      <c r="H50" s="288">
        <f>F50/BASELINE!$C$16*100</f>
        <v>0.84813425728654745</v>
      </c>
      <c r="I50" s="284">
        <v>0.5</v>
      </c>
      <c r="J50" s="284">
        <f t="shared" si="8"/>
        <v>0.3017806295932608</v>
      </c>
      <c r="K50" s="284">
        <f t="shared" si="9"/>
        <v>0.42406712864327373</v>
      </c>
      <c r="L50" s="284">
        <v>2.5</v>
      </c>
      <c r="M50" s="288">
        <f t="shared" si="10"/>
        <v>0.42406712864327373</v>
      </c>
      <c r="O50" s="274"/>
    </row>
    <row r="51" spans="2:15" ht="12" customHeight="1" x14ac:dyDescent="0.15">
      <c r="B51" s="96">
        <v>3</v>
      </c>
      <c r="C51" s="97" t="s">
        <v>177</v>
      </c>
      <c r="D51" s="282">
        <f>IF(UPPER(BASELINE!$C$13)="JUSTIFIKASI",VLOOKUP(BASELINE!$C$7,'FAKTOR KOREKSI'!$C$11:$L$44,4,FALSE),1)</f>
        <v>1.0833999999999999</v>
      </c>
      <c r="E51" s="283">
        <f>SUM('POLA KONSUMSI'!$N$26:$N$30)</f>
        <v>304.17072105015347</v>
      </c>
      <c r="F51" s="98">
        <f>SUM('POLA KONSUMSI'!$L$26:$L$30)</f>
        <v>416.80827341556187</v>
      </c>
      <c r="G51" s="98">
        <f>$F51/$F$59*100</f>
        <v>14.830749034174563</v>
      </c>
      <c r="H51" s="288">
        <f>F51/BASELINE!$C$16*100</f>
        <v>20.840413670778094</v>
      </c>
      <c r="I51" s="284">
        <v>2</v>
      </c>
      <c r="J51" s="284">
        <f t="shared" si="8"/>
        <v>29.661498068349125</v>
      </c>
      <c r="K51" s="284">
        <f t="shared" si="9"/>
        <v>41.680827341556189</v>
      </c>
      <c r="L51" s="284">
        <v>24</v>
      </c>
      <c r="M51" s="288">
        <f t="shared" si="10"/>
        <v>24</v>
      </c>
    </row>
    <row r="52" spans="2:15" ht="12" customHeight="1" x14ac:dyDescent="0.15">
      <c r="B52" s="96">
        <v>4</v>
      </c>
      <c r="C52" s="97" t="s">
        <v>178</v>
      </c>
      <c r="D52" s="282">
        <f>IF(UPPER(BASELINE!$C$13)="JUSTIFIKASI",VLOOKUP(BASELINE!$C$7,'FAKTOR KOREKSI'!$C$11:$L$44,5,FALSE),1)</f>
        <v>1.1267</v>
      </c>
      <c r="E52" s="283">
        <f>SUM('POLA KONSUMSI'!$N$33:$N$35)</f>
        <v>34.909858618375793</v>
      </c>
      <c r="F52" s="98">
        <f>SUM('POLA KONSUMSI'!$L$33:$L$35)</f>
        <v>314.81513655331491</v>
      </c>
      <c r="G52" s="98">
        <f t="shared" si="11"/>
        <v>11.201659324373884</v>
      </c>
      <c r="H52" s="288">
        <f>F52/BASELINE!$C$16*100</f>
        <v>15.740756827665745</v>
      </c>
      <c r="I52" s="284">
        <v>0.5</v>
      </c>
      <c r="J52" s="284">
        <f t="shared" si="8"/>
        <v>5.6008296621869418</v>
      </c>
      <c r="K52" s="284">
        <f t="shared" si="9"/>
        <v>7.8703784138328725</v>
      </c>
      <c r="L52" s="284">
        <v>5</v>
      </c>
      <c r="M52" s="288">
        <f t="shared" si="10"/>
        <v>5</v>
      </c>
    </row>
    <row r="53" spans="2:15" ht="12" customHeight="1" x14ac:dyDescent="0.15">
      <c r="B53" s="96">
        <v>5</v>
      </c>
      <c r="C53" s="97" t="s">
        <v>179</v>
      </c>
      <c r="D53" s="282">
        <f>IF(UPPER(BASELINE!$C$13)="JUSTIFIKASI",VLOOKUP(BASELINE!$C$7,'FAKTOR KOREKSI'!$C$11:$L$44,6,FALSE),1)</f>
        <v>1.4052</v>
      </c>
      <c r="E53" s="283">
        <f>SUM('POLA KONSUMSI'!$N$38:$N$39)</f>
        <v>32.2742124462346</v>
      </c>
      <c r="F53" s="98">
        <f>SUM('POLA KONSUMSI'!$L$38:$L$39)</f>
        <v>176.05121664945457</v>
      </c>
      <c r="G53" s="98">
        <f t="shared" si="11"/>
        <v>6.2642024590668113</v>
      </c>
      <c r="H53" s="288">
        <f>F53/BASELINE!$C$16*100</f>
        <v>8.8025608324727287</v>
      </c>
      <c r="I53" s="284">
        <v>0.5</v>
      </c>
      <c r="J53" s="284">
        <f t="shared" si="8"/>
        <v>3.1321012295334056</v>
      </c>
      <c r="K53" s="284">
        <f t="shared" si="9"/>
        <v>4.4012804162363643</v>
      </c>
      <c r="L53" s="284">
        <v>1</v>
      </c>
      <c r="M53" s="288">
        <f t="shared" si="10"/>
        <v>1</v>
      </c>
    </row>
    <row r="54" spans="2:15" ht="12" customHeight="1" x14ac:dyDescent="0.15">
      <c r="B54" s="96">
        <v>6</v>
      </c>
      <c r="C54" s="97" t="s">
        <v>180</v>
      </c>
      <c r="D54" s="282">
        <f>IF(UPPER(BASELINE!$C$13)="JUSTIFIKASI",VLOOKUP(BASELINE!$C$7,'FAKTOR KOREKSI'!$C$11:$L$44,7,FALSE),1)</f>
        <v>1.5347</v>
      </c>
      <c r="E54" s="283">
        <f>SUM('POLA KONSUMSI'!$N$42:$N$45)</f>
        <v>12.420386328589153</v>
      </c>
      <c r="F54" s="98">
        <f>SUM('POLA KONSUMSI'!$L$42:$L$45)</f>
        <v>29.796893029001399</v>
      </c>
      <c r="G54" s="98">
        <f>$F54/$F$59*100</f>
        <v>1.0602242582422936</v>
      </c>
      <c r="H54" s="288">
        <f>F54/BASELINE!$C$16*100</f>
        <v>1.4898446514500701</v>
      </c>
      <c r="I54" s="284">
        <v>2</v>
      </c>
      <c r="J54" s="284">
        <f t="shared" si="8"/>
        <v>2.1204485164845872</v>
      </c>
      <c r="K54" s="284">
        <f t="shared" si="9"/>
        <v>2.9796893029001401</v>
      </c>
      <c r="L54" s="284">
        <v>10</v>
      </c>
      <c r="M54" s="288">
        <f t="shared" si="10"/>
        <v>2.9796893029001401</v>
      </c>
    </row>
    <row r="55" spans="2:15" ht="12" customHeight="1" x14ac:dyDescent="0.15">
      <c r="B55" s="96">
        <v>7</v>
      </c>
      <c r="C55" s="97" t="s">
        <v>181</v>
      </c>
      <c r="D55" s="282">
        <f>IF(UPPER(BASELINE!$C$13)="JUSTIFIKASI",VLOOKUP(BASELINE!$C$7,'FAKTOR KOREKSI'!$C$11:$L$44,8,FALSE),1)</f>
        <v>1.3011999999999999</v>
      </c>
      <c r="E55" s="283">
        <f>SUM('POLA KONSUMSI'!$N$48:$N$49)</f>
        <v>29.0525381991324</v>
      </c>
      <c r="F55" s="98">
        <f>SUM('POLA KONSUMSI'!$L$48:$L$49)</f>
        <v>105.78390890468532</v>
      </c>
      <c r="G55" s="98">
        <f t="shared" si="11"/>
        <v>3.7639718424092035</v>
      </c>
      <c r="H55" s="288">
        <f>F55/BASELINE!$C$16*100</f>
        <v>5.2891954452342658</v>
      </c>
      <c r="I55" s="284">
        <v>0.5</v>
      </c>
      <c r="J55" s="284">
        <f t="shared" si="8"/>
        <v>1.8819859212046017</v>
      </c>
      <c r="K55" s="284">
        <f t="shared" si="9"/>
        <v>2.6445977226171329</v>
      </c>
      <c r="L55" s="284">
        <v>2.5</v>
      </c>
      <c r="M55" s="288">
        <f t="shared" si="10"/>
        <v>2.5</v>
      </c>
    </row>
    <row r="56" spans="2:15" ht="12" customHeight="1" x14ac:dyDescent="0.15">
      <c r="B56" s="96">
        <v>8</v>
      </c>
      <c r="C56" s="97" t="s">
        <v>182</v>
      </c>
      <c r="D56" s="282">
        <f>IF(UPPER(BASELINE!$C$13)="JUSTIFIKASI",VLOOKUP(BASELINE!$C$7,'FAKTOR KOREKSI'!$C$11:$L$44,9,FALSE),1)</f>
        <v>1.4048</v>
      </c>
      <c r="E56" s="283">
        <f>SUM('POLA KONSUMSI'!$N$52:$N$53)</f>
        <v>176.00546124111429</v>
      </c>
      <c r="F56" s="98">
        <f>SUM('POLA KONSUMSI'!$L$52:$L$53)</f>
        <v>87.894121440499291</v>
      </c>
      <c r="G56" s="98">
        <f t="shared" si="11"/>
        <v>3.1274227020049303</v>
      </c>
      <c r="H56" s="288">
        <f>F56/BASELINE!$C$16*100</f>
        <v>4.3947060720249649</v>
      </c>
      <c r="I56" s="284">
        <v>5</v>
      </c>
      <c r="J56" s="284">
        <f t="shared" si="8"/>
        <v>15.637113510024651</v>
      </c>
      <c r="K56" s="284">
        <f t="shared" si="9"/>
        <v>21.973530360124826</v>
      </c>
      <c r="L56" s="284">
        <v>30</v>
      </c>
      <c r="M56" s="288">
        <f t="shared" si="10"/>
        <v>21.973530360124826</v>
      </c>
    </row>
    <row r="57" spans="2:15" ht="12" customHeight="1" x14ac:dyDescent="0.15">
      <c r="B57" s="96">
        <v>9</v>
      </c>
      <c r="C57" s="97" t="s">
        <v>183</v>
      </c>
      <c r="D57" s="282">
        <f>IF(UPPER(BASELINE!$C$13)="JUSTIFIKASI",VLOOKUP(BASELINE!$C$7,'FAKTOR KOREKSI'!$C$11:$L$44,10,FALSE),1)</f>
        <v>1.2181999999999999</v>
      </c>
      <c r="E57" s="283">
        <f>SUM('POLA KONSUMSI'!$N$56:$N$57)</f>
        <v>1025.1717528742397</v>
      </c>
      <c r="F57" s="98">
        <f>SUM('POLA KONSUMSI'!$L$56:$L$57)</f>
        <v>243.12461768749156</v>
      </c>
      <c r="G57" s="98">
        <f t="shared" si="11"/>
        <v>8.650788429427088</v>
      </c>
      <c r="H57" s="288">
        <f>F57/BASELINE!$C$16*100</f>
        <v>12.156230884374578</v>
      </c>
      <c r="I57" s="284">
        <v>0</v>
      </c>
      <c r="J57" s="284">
        <v>0</v>
      </c>
      <c r="K57" s="284">
        <f t="shared" si="9"/>
        <v>0</v>
      </c>
      <c r="L57" s="284">
        <v>0</v>
      </c>
      <c r="M57" s="288">
        <f t="shared" si="10"/>
        <v>0</v>
      </c>
    </row>
    <row r="58" spans="2:15" ht="12" customHeight="1" x14ac:dyDescent="0.15">
      <c r="B58" s="96"/>
      <c r="C58" s="96"/>
      <c r="D58" s="96"/>
      <c r="E58" s="96"/>
      <c r="F58" s="296"/>
      <c r="G58" s="296"/>
      <c r="H58" s="297"/>
      <c r="I58" s="298"/>
      <c r="J58" s="298"/>
      <c r="K58" s="298"/>
      <c r="L58" s="298"/>
      <c r="M58" s="297"/>
    </row>
    <row r="59" spans="2:15" ht="12" customHeight="1" x14ac:dyDescent="0.15">
      <c r="B59" s="96"/>
      <c r="C59" s="285" t="s">
        <v>184</v>
      </c>
      <c r="D59" s="286"/>
      <c r="E59" s="285"/>
      <c r="F59" s="287">
        <f>SUM(F49:F57)</f>
        <v>2810.4330567195811</v>
      </c>
      <c r="G59" s="287">
        <f>SUM(G49:G57)</f>
        <v>100</v>
      </c>
      <c r="H59" s="288">
        <f>SUM(H49:H57)</f>
        <v>140.52165283597904</v>
      </c>
      <c r="I59" s="288"/>
      <c r="J59" s="288">
        <f>SUM(J49:J57)</f>
        <v>83.584467882933922</v>
      </c>
      <c r="K59" s="288">
        <f>SUM(K49:K57)</f>
        <v>117.45427578325683</v>
      </c>
      <c r="L59" s="288">
        <f>SUM(L49:L57)</f>
        <v>100</v>
      </c>
      <c r="M59" s="288">
        <f>SUM(M49:M57)</f>
        <v>82.87728679166824</v>
      </c>
    </row>
    <row r="60" spans="2:15" ht="12" customHeight="1" x14ac:dyDescent="0.15">
      <c r="B60" s="103"/>
      <c r="C60" s="106"/>
      <c r="D60" s="289"/>
      <c r="E60" s="106"/>
      <c r="F60" s="290"/>
      <c r="G60" s="290"/>
      <c r="H60" s="290"/>
      <c r="I60" s="290"/>
      <c r="J60" s="290"/>
      <c r="K60" s="290"/>
      <c r="L60" s="290"/>
      <c r="M60" s="290"/>
    </row>
    <row r="61" spans="2:15" ht="12" customHeight="1" x14ac:dyDescent="0.15">
      <c r="B61" s="291" t="s">
        <v>432</v>
      </c>
      <c r="C61" s="292"/>
      <c r="D61" s="293"/>
      <c r="E61" s="294">
        <f>BASELINE!C16</f>
        <v>2000</v>
      </c>
      <c r="F61" s="295" t="s">
        <v>462</v>
      </c>
      <c r="G61" s="292"/>
    </row>
    <row r="62" spans="2:15" ht="12" customHeight="1" x14ac:dyDescent="0.2">
      <c r="B62" s="92"/>
    </row>
    <row r="63" spans="2:15" ht="12" customHeight="1" x14ac:dyDescent="0.2">
      <c r="B63" s="92"/>
    </row>
    <row r="64" spans="2:15" ht="12" customHeight="1" x14ac:dyDescent="0.2">
      <c r="B64" s="92"/>
      <c r="F64" s="309"/>
    </row>
    <row r="65" spans="2:6" ht="12" customHeight="1" x14ac:dyDescent="0.2">
      <c r="B65" s="92"/>
      <c r="F65" s="303"/>
    </row>
    <row r="66" spans="2:6" ht="12" customHeight="1" x14ac:dyDescent="0.2">
      <c r="B66" s="92"/>
      <c r="F66" s="310"/>
    </row>
    <row r="67" spans="2:6" ht="12" customHeight="1" x14ac:dyDescent="0.2">
      <c r="B67" s="92"/>
      <c r="F67" s="310"/>
    </row>
    <row r="68" spans="2:6" ht="12" customHeight="1" x14ac:dyDescent="0.2">
      <c r="B68" s="92"/>
      <c r="F68" s="310"/>
    </row>
    <row r="69" spans="2:6" ht="12" customHeight="1" x14ac:dyDescent="0.2">
      <c r="B69" s="92"/>
      <c r="F69" s="310"/>
    </row>
    <row r="70" spans="2:6" ht="12" customHeight="1" x14ac:dyDescent="0.2">
      <c r="B70" s="92"/>
      <c r="F70" s="310"/>
    </row>
    <row r="71" spans="2:6" ht="12" customHeight="1" x14ac:dyDescent="0.2">
      <c r="B71" s="92"/>
      <c r="F71" s="310"/>
    </row>
    <row r="72" spans="2:6" ht="12" customHeight="1" x14ac:dyDescent="0.2">
      <c r="B72" s="92"/>
      <c r="F72" s="310"/>
    </row>
    <row r="73" spans="2:6" ht="12" customHeight="1" x14ac:dyDescent="0.2">
      <c r="B73" s="92"/>
      <c r="F73" s="310"/>
    </row>
    <row r="74" spans="2:6" ht="12" customHeight="1" x14ac:dyDescent="0.2">
      <c r="F74" s="310"/>
    </row>
    <row r="76" spans="2:6" ht="12" customHeight="1" x14ac:dyDescent="0.2">
      <c r="F76" s="310"/>
    </row>
  </sheetData>
  <mergeCells count="16">
    <mergeCell ref="B2:G2"/>
    <mergeCell ref="B10:B11"/>
    <mergeCell ref="C10:C11"/>
    <mergeCell ref="F10:M10"/>
    <mergeCell ref="E10:E11"/>
    <mergeCell ref="D10:D11"/>
    <mergeCell ref="B28:B29"/>
    <mergeCell ref="C28:C29"/>
    <mergeCell ref="D28:D29"/>
    <mergeCell ref="E28:E29"/>
    <mergeCell ref="F28:M28"/>
    <mergeCell ref="B46:B47"/>
    <mergeCell ref="C46:C47"/>
    <mergeCell ref="D46:D47"/>
    <mergeCell ref="E46:E47"/>
    <mergeCell ref="F46:M46"/>
  </mergeCells>
  <phoneticPr fontId="0" type="noConversion"/>
  <pageMargins left="0.7" right="0.7" top="0.75" bottom="0.75" header="0.3" footer="0.3"/>
  <pageSetup paperSize="9" scale="71" fitToWidth="0"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2:K67"/>
  <sheetViews>
    <sheetView topLeftCell="C28" zoomScale="80" zoomScaleNormal="80" workbookViewId="0">
      <selection activeCell="F45" sqref="F45"/>
    </sheetView>
  </sheetViews>
  <sheetFormatPr defaultRowHeight="15" customHeight="1" x14ac:dyDescent="0.2"/>
  <cols>
    <col min="1" max="1" width="9.85546875" style="92" customWidth="1"/>
    <col min="2" max="2" width="5" style="110" customWidth="1"/>
    <col min="3" max="3" width="51.85546875" style="92" customWidth="1"/>
    <col min="4" max="11" width="14" style="92" customWidth="1"/>
    <col min="12" max="16384" width="9.140625" style="92"/>
  </cols>
  <sheetData>
    <row r="2" spans="2:11" ht="15" customHeight="1" x14ac:dyDescent="0.15">
      <c r="B2" s="384"/>
      <c r="C2" s="384"/>
      <c r="D2" s="384"/>
      <c r="E2" s="384"/>
    </row>
    <row r="4" spans="2:11" ht="15" customHeight="1" x14ac:dyDescent="0.2">
      <c r="B4" s="7" t="str">
        <f>UPPER(BASELINE!$C$8)</f>
        <v>BADAN KETAHANAN PANGAN DAN PENYULUHAN</v>
      </c>
      <c r="C4" s="4"/>
      <c r="D4" s="4"/>
      <c r="E4" s="4"/>
      <c r="G4" s="4"/>
      <c r="H4" s="4"/>
      <c r="I4" s="4"/>
      <c r="J4" s="4"/>
      <c r="K4" s="10" t="str">
        <f>UPPER(CONCATENATE(BASELINE!$C$13," SASARAN SKOR POLA PANGAN HARAPAN KONSUMSI PANGAN PENDUDUK"))</f>
        <v>JUSTIFIKASI SASARAN SKOR POLA PANGAN HARAPAN KONSUMSI PANGAN PENDUDUK</v>
      </c>
    </row>
    <row r="5" spans="2:11" ht="15" customHeight="1" x14ac:dyDescent="0.2">
      <c r="B5" s="7" t="str">
        <f>UPPER(CONCATENATE(IF(UPPER(BASELINE!$C$7)="INDONESIA","KEMENTRIAN PERTANIAN","PROPINSI "),BASELINE!$C$7))</f>
        <v>PROPINSI SUMATERA BARAT</v>
      </c>
      <c r="C5" s="4"/>
      <c r="G5" s="93"/>
      <c r="H5" s="93"/>
      <c r="I5" s="5"/>
      <c r="K5" s="10" t="s">
        <v>395</v>
      </c>
    </row>
    <row r="6" spans="2:11" ht="15" customHeight="1" x14ac:dyDescent="0.2">
      <c r="B6" s="7" t="str">
        <f>UPPER(BASELINE!$C$9)</f>
        <v>JL H AGUS SALIM PAINAN</v>
      </c>
      <c r="C6" s="4"/>
      <c r="K6" s="10" t="str">
        <f>UPPER(CONCATENATE(IF(UPPER(BASELINE!$C$7)="INDONESIA","","PROPINSI "),BASELINE!$C$7," TAHUN ",BASELINE!$C$12))</f>
        <v>PROPINSI SUMATERA BARAT TAHUN 2015</v>
      </c>
    </row>
    <row r="8" spans="2:11" ht="15" customHeight="1" x14ac:dyDescent="0.2">
      <c r="B8" s="390" t="s">
        <v>170</v>
      </c>
      <c r="C8" s="390" t="s">
        <v>171</v>
      </c>
      <c r="D8" s="391" t="s">
        <v>199</v>
      </c>
      <c r="E8" s="391"/>
      <c r="F8" s="391"/>
      <c r="G8" s="391"/>
      <c r="H8" s="391"/>
      <c r="I8" s="391"/>
      <c r="J8" s="391"/>
      <c r="K8" s="391"/>
    </row>
    <row r="9" spans="2:11" ht="15" customHeight="1" x14ac:dyDescent="0.2">
      <c r="B9" s="390"/>
      <c r="C9" s="390"/>
      <c r="D9" s="94">
        <f>BASELINE!$C$12</f>
        <v>2015</v>
      </c>
      <c r="E9" s="95">
        <v>2014</v>
      </c>
      <c r="F9" s="95">
        <v>2015</v>
      </c>
      <c r="G9" s="95">
        <v>2016</v>
      </c>
      <c r="H9" s="95">
        <v>2017</v>
      </c>
      <c r="I9" s="95">
        <v>2018</v>
      </c>
      <c r="J9" s="95">
        <v>2019</v>
      </c>
      <c r="K9" s="95">
        <v>2020</v>
      </c>
    </row>
    <row r="10" spans="2:11" ht="15" customHeight="1" x14ac:dyDescent="0.2">
      <c r="B10" s="392"/>
      <c r="C10" s="393"/>
      <c r="D10" s="393"/>
      <c r="E10" s="393"/>
      <c r="F10" s="393"/>
      <c r="G10" s="393"/>
      <c r="H10" s="393"/>
      <c r="I10" s="393"/>
      <c r="J10" s="393"/>
      <c r="K10" s="394"/>
    </row>
    <row r="11" spans="2:11" ht="15" customHeight="1" x14ac:dyDescent="0.15">
      <c r="B11" s="96">
        <v>1</v>
      </c>
      <c r="C11" s="97" t="s">
        <v>175</v>
      </c>
      <c r="D11" s="98">
        <f>'SKOR PPH'!M49</f>
        <v>25</v>
      </c>
      <c r="E11" s="99">
        <f>$D11+(E$9-$D$9)*($K11-$D11)/($K$9-$D$9)</f>
        <v>25</v>
      </c>
      <c r="F11" s="99">
        <f t="shared" ref="E11:J19" si="0">$D11+(F$9-$D$9)*($K11-$D11)/($K$9-$D$9)</f>
        <v>25</v>
      </c>
      <c r="G11" s="99">
        <f t="shared" si="0"/>
        <v>25</v>
      </c>
      <c r="H11" s="99">
        <f t="shared" si="0"/>
        <v>25</v>
      </c>
      <c r="I11" s="99">
        <f t="shared" si="0"/>
        <v>25</v>
      </c>
      <c r="J11" s="99">
        <f t="shared" si="0"/>
        <v>25</v>
      </c>
      <c r="K11" s="99">
        <f>'SKOR PPH'!L13</f>
        <v>25</v>
      </c>
    </row>
    <row r="12" spans="2:11" ht="15" customHeight="1" x14ac:dyDescent="0.15">
      <c r="B12" s="96">
        <v>2</v>
      </c>
      <c r="C12" s="97" t="s">
        <v>176</v>
      </c>
      <c r="D12" s="98">
        <f>'SKOR PPH'!M50</f>
        <v>0.42406712864327373</v>
      </c>
      <c r="E12" s="99">
        <f t="shared" si="0"/>
        <v>8.880554371928473E-3</v>
      </c>
      <c r="F12" s="99">
        <f t="shared" si="0"/>
        <v>0.42406712864327373</v>
      </c>
      <c r="G12" s="99">
        <f t="shared" si="0"/>
        <v>0.83925370291461898</v>
      </c>
      <c r="H12" s="99">
        <f t="shared" si="0"/>
        <v>1.2544402771859642</v>
      </c>
      <c r="I12" s="99">
        <f t="shared" si="0"/>
        <v>1.6696268514573096</v>
      </c>
      <c r="J12" s="99">
        <f t="shared" si="0"/>
        <v>2.0848134257286546</v>
      </c>
      <c r="K12" s="99">
        <f>'SKOR PPH'!L14</f>
        <v>2.5</v>
      </c>
    </row>
    <row r="13" spans="2:11" ht="15" customHeight="1" x14ac:dyDescent="0.15">
      <c r="B13" s="96">
        <v>3</v>
      </c>
      <c r="C13" s="97" t="s">
        <v>177</v>
      </c>
      <c r="D13" s="98">
        <f>'SKOR PPH'!M51</f>
        <v>24</v>
      </c>
      <c r="E13" s="99">
        <f>$D13+(E$9-$D$9)*($K13-$D13)/($K$9-$D$9)</f>
        <v>24</v>
      </c>
      <c r="F13" s="99">
        <f t="shared" si="0"/>
        <v>24</v>
      </c>
      <c r="G13" s="99">
        <f t="shared" si="0"/>
        <v>24</v>
      </c>
      <c r="H13" s="99">
        <f t="shared" si="0"/>
        <v>24</v>
      </c>
      <c r="I13" s="99">
        <f t="shared" si="0"/>
        <v>24</v>
      </c>
      <c r="J13" s="99">
        <f t="shared" si="0"/>
        <v>24</v>
      </c>
      <c r="K13" s="99">
        <f>'SKOR PPH'!L15</f>
        <v>24</v>
      </c>
    </row>
    <row r="14" spans="2:11" ht="15" customHeight="1" x14ac:dyDescent="0.15">
      <c r="B14" s="96">
        <v>4</v>
      </c>
      <c r="C14" s="97" t="s">
        <v>178</v>
      </c>
      <c r="D14" s="98">
        <f>'SKOR PPH'!M52</f>
        <v>5</v>
      </c>
      <c r="E14" s="99">
        <f t="shared" si="0"/>
        <v>5</v>
      </c>
      <c r="F14" s="99">
        <f t="shared" si="0"/>
        <v>5</v>
      </c>
      <c r="G14" s="99">
        <f>$D14+(G$9-$D$9)*($K14-$D14)/($K$9-$D$9)</f>
        <v>5</v>
      </c>
      <c r="H14" s="99">
        <f t="shared" si="0"/>
        <v>5</v>
      </c>
      <c r="I14" s="99">
        <f t="shared" si="0"/>
        <v>5</v>
      </c>
      <c r="J14" s="99">
        <f t="shared" si="0"/>
        <v>5</v>
      </c>
      <c r="K14" s="99">
        <f>'SKOR PPH'!L16</f>
        <v>5</v>
      </c>
    </row>
    <row r="15" spans="2:11" ht="15" customHeight="1" x14ac:dyDescent="0.15">
      <c r="B15" s="96">
        <v>5</v>
      </c>
      <c r="C15" s="97" t="s">
        <v>179</v>
      </c>
      <c r="D15" s="98">
        <f>'SKOR PPH'!M53</f>
        <v>1</v>
      </c>
      <c r="E15" s="99">
        <f t="shared" si="0"/>
        <v>1</v>
      </c>
      <c r="F15" s="99">
        <f t="shared" si="0"/>
        <v>1</v>
      </c>
      <c r="G15" s="99">
        <f t="shared" si="0"/>
        <v>1</v>
      </c>
      <c r="H15" s="99">
        <f t="shared" si="0"/>
        <v>1</v>
      </c>
      <c r="I15" s="99">
        <f t="shared" si="0"/>
        <v>1</v>
      </c>
      <c r="J15" s="99">
        <f t="shared" si="0"/>
        <v>1</v>
      </c>
      <c r="K15" s="99">
        <f>'SKOR PPH'!L17</f>
        <v>1</v>
      </c>
    </row>
    <row r="16" spans="2:11" ht="15" customHeight="1" x14ac:dyDescent="0.15">
      <c r="B16" s="96">
        <v>6</v>
      </c>
      <c r="C16" s="97" t="s">
        <v>180</v>
      </c>
      <c r="D16" s="98">
        <f>'SKOR PPH'!M54</f>
        <v>2.9796893029001401</v>
      </c>
      <c r="E16" s="99">
        <f t="shared" si="0"/>
        <v>1.5756271634801682</v>
      </c>
      <c r="F16" s="99">
        <f t="shared" si="0"/>
        <v>2.9796893029001401</v>
      </c>
      <c r="G16" s="99">
        <f t="shared" si="0"/>
        <v>4.3837514423201123</v>
      </c>
      <c r="H16" s="99">
        <f t="shared" si="0"/>
        <v>5.7878135817400835</v>
      </c>
      <c r="I16" s="99">
        <f t="shared" si="0"/>
        <v>7.1918757211600566</v>
      </c>
      <c r="J16" s="99">
        <f t="shared" si="0"/>
        <v>8.5959378605800278</v>
      </c>
      <c r="K16" s="99">
        <f>'SKOR PPH'!L18</f>
        <v>10</v>
      </c>
    </row>
    <row r="17" spans="2:11" ht="15" customHeight="1" x14ac:dyDescent="0.15">
      <c r="B17" s="96">
        <v>7</v>
      </c>
      <c r="C17" s="97" t="s">
        <v>181</v>
      </c>
      <c r="D17" s="98">
        <f>'SKOR PPH'!M55</f>
        <v>2.5</v>
      </c>
      <c r="E17" s="99">
        <f t="shared" si="0"/>
        <v>2.5</v>
      </c>
      <c r="F17" s="99">
        <f t="shared" si="0"/>
        <v>2.5</v>
      </c>
      <c r="G17" s="99">
        <f t="shared" si="0"/>
        <v>2.5</v>
      </c>
      <c r="H17" s="99">
        <f t="shared" si="0"/>
        <v>2.5</v>
      </c>
      <c r="I17" s="99">
        <f t="shared" si="0"/>
        <v>2.5</v>
      </c>
      <c r="J17" s="99">
        <f t="shared" si="0"/>
        <v>2.5</v>
      </c>
      <c r="K17" s="99">
        <f>'SKOR PPH'!L19</f>
        <v>2.5</v>
      </c>
    </row>
    <row r="18" spans="2:11" ht="15" customHeight="1" x14ac:dyDescent="0.15">
      <c r="B18" s="96">
        <v>8</v>
      </c>
      <c r="C18" s="97" t="s">
        <v>182</v>
      </c>
      <c r="D18" s="98">
        <f>'SKOR PPH'!M56</f>
        <v>21.973530360124826</v>
      </c>
      <c r="E18" s="99">
        <f t="shared" si="0"/>
        <v>20.368236432149793</v>
      </c>
      <c r="F18" s="99">
        <f t="shared" si="0"/>
        <v>21.973530360124826</v>
      </c>
      <c r="G18" s="99">
        <f t="shared" si="0"/>
        <v>23.57882428809986</v>
      </c>
      <c r="H18" s="99">
        <f t="shared" si="0"/>
        <v>25.184118216074896</v>
      </c>
      <c r="I18" s="99">
        <f t="shared" si="0"/>
        <v>26.78941214404993</v>
      </c>
      <c r="J18" s="99">
        <f t="shared" si="0"/>
        <v>28.394706072024967</v>
      </c>
      <c r="K18" s="99">
        <f>'SKOR PPH'!L20</f>
        <v>30</v>
      </c>
    </row>
    <row r="19" spans="2:11" ht="15" customHeight="1" x14ac:dyDescent="0.15">
      <c r="B19" s="96">
        <v>9</v>
      </c>
      <c r="C19" s="97" t="s">
        <v>183</v>
      </c>
      <c r="D19" s="98">
        <f>'SKOR PPH'!M57</f>
        <v>0</v>
      </c>
      <c r="E19" s="99">
        <f t="shared" si="0"/>
        <v>0</v>
      </c>
      <c r="F19" s="99">
        <f t="shared" si="0"/>
        <v>0</v>
      </c>
      <c r="G19" s="99">
        <f t="shared" si="0"/>
        <v>0</v>
      </c>
      <c r="H19" s="99">
        <f t="shared" si="0"/>
        <v>0</v>
      </c>
      <c r="I19" s="99">
        <f t="shared" si="0"/>
        <v>0</v>
      </c>
      <c r="J19" s="99">
        <f t="shared" si="0"/>
        <v>0</v>
      </c>
      <c r="K19" s="99">
        <f>'SKOR PPH'!L21</f>
        <v>0</v>
      </c>
    </row>
    <row r="20" spans="2:11" ht="15" customHeight="1" x14ac:dyDescent="0.15">
      <c r="B20" s="395"/>
      <c r="C20" s="396"/>
      <c r="D20" s="396"/>
      <c r="E20" s="396"/>
      <c r="F20" s="396"/>
      <c r="G20" s="396"/>
      <c r="H20" s="396"/>
      <c r="I20" s="396"/>
      <c r="J20" s="396"/>
      <c r="K20" s="397"/>
    </row>
    <row r="21" spans="2:11" ht="15" customHeight="1" x14ac:dyDescent="0.15">
      <c r="B21" s="100"/>
      <c r="C21" s="97" t="s">
        <v>174</v>
      </c>
      <c r="D21" s="98">
        <f>'SKOR PPH'!M59</f>
        <v>82.87728679166824</v>
      </c>
      <c r="E21" s="101">
        <f t="shared" ref="E21:J21" si="1">$D21+(E$9-$D$9)*($K21-$D21)/($K$9-$D$9)</f>
        <v>79.452744150001891</v>
      </c>
      <c r="F21" s="101">
        <f t="shared" si="1"/>
        <v>82.87728679166824</v>
      </c>
      <c r="G21" s="101">
        <f t="shared" si="1"/>
        <v>86.301829433334589</v>
      </c>
      <c r="H21" s="101">
        <f t="shared" si="1"/>
        <v>89.726372075000938</v>
      </c>
      <c r="I21" s="101">
        <f t="shared" si="1"/>
        <v>93.150914716667302</v>
      </c>
      <c r="J21" s="101">
        <f t="shared" si="1"/>
        <v>96.575457358333651</v>
      </c>
      <c r="K21" s="102">
        <f>SUM(K11:K19)</f>
        <v>100</v>
      </c>
    </row>
    <row r="24" spans="2:11" ht="15" customHeight="1" x14ac:dyDescent="0.2">
      <c r="B24" s="390" t="s">
        <v>170</v>
      </c>
      <c r="C24" s="390" t="s">
        <v>171</v>
      </c>
      <c r="D24" s="391" t="s">
        <v>203</v>
      </c>
      <c r="E24" s="391"/>
      <c r="F24" s="391"/>
      <c r="G24" s="391"/>
      <c r="H24" s="391"/>
      <c r="I24" s="391"/>
      <c r="J24" s="391"/>
      <c r="K24" s="391"/>
    </row>
    <row r="25" spans="2:11" ht="15" customHeight="1" x14ac:dyDescent="0.2">
      <c r="B25" s="390"/>
      <c r="C25" s="390"/>
      <c r="D25" s="94">
        <f t="shared" ref="D25:K25" si="2">D9</f>
        <v>2015</v>
      </c>
      <c r="E25" s="94">
        <f t="shared" si="2"/>
        <v>2014</v>
      </c>
      <c r="F25" s="94">
        <f t="shared" si="2"/>
        <v>2015</v>
      </c>
      <c r="G25" s="94">
        <f t="shared" si="2"/>
        <v>2016</v>
      </c>
      <c r="H25" s="94">
        <f t="shared" si="2"/>
        <v>2017</v>
      </c>
      <c r="I25" s="94">
        <f t="shared" si="2"/>
        <v>2018</v>
      </c>
      <c r="J25" s="94">
        <f t="shared" si="2"/>
        <v>2019</v>
      </c>
      <c r="K25" s="94">
        <f t="shared" si="2"/>
        <v>2020</v>
      </c>
    </row>
    <row r="26" spans="2:11" ht="15" customHeight="1" x14ac:dyDescent="0.2">
      <c r="B26" s="392"/>
      <c r="C26" s="393"/>
      <c r="D26" s="393"/>
      <c r="E26" s="393"/>
      <c r="F26" s="393"/>
      <c r="G26" s="393"/>
      <c r="H26" s="393"/>
      <c r="I26" s="393"/>
      <c r="J26" s="393"/>
      <c r="K26" s="394"/>
    </row>
    <row r="27" spans="2:11" ht="15" customHeight="1" x14ac:dyDescent="0.15">
      <c r="B27" s="96">
        <v>1</v>
      </c>
      <c r="C27" s="97" t="s">
        <v>175</v>
      </c>
      <c r="D27" s="98">
        <f>'SKOR PPH'!H49</f>
        <v>70.959810194692068</v>
      </c>
      <c r="E27" s="99">
        <f t="shared" ref="E27:J35" si="3">$D27+(E$9-$D$9)*($K27-$D27)/($K$9-$D$9)</f>
        <v>75.151772233630481</v>
      </c>
      <c r="F27" s="99">
        <f t="shared" si="3"/>
        <v>70.959810194692068</v>
      </c>
      <c r="G27" s="99">
        <f t="shared" si="3"/>
        <v>66.767848155753654</v>
      </c>
      <c r="H27" s="99">
        <f t="shared" si="3"/>
        <v>62.575886116815241</v>
      </c>
      <c r="I27" s="99">
        <f t="shared" si="3"/>
        <v>58.383924077876827</v>
      </c>
      <c r="J27" s="99">
        <f t="shared" si="3"/>
        <v>54.191962038938414</v>
      </c>
      <c r="K27" s="99">
        <v>50</v>
      </c>
    </row>
    <row r="28" spans="2:11" ht="15" customHeight="1" x14ac:dyDescent="0.15">
      <c r="B28" s="96">
        <v>2</v>
      </c>
      <c r="C28" s="97" t="s">
        <v>176</v>
      </c>
      <c r="D28" s="98">
        <f>'SKOR PPH'!H50</f>
        <v>0.84813425728654745</v>
      </c>
      <c r="E28" s="99">
        <f t="shared" si="3"/>
        <v>-0.18223889125614312</v>
      </c>
      <c r="F28" s="99">
        <f t="shared" si="3"/>
        <v>0.84813425728654745</v>
      </c>
      <c r="G28" s="99">
        <f t="shared" si="3"/>
        <v>1.8785074058292381</v>
      </c>
      <c r="H28" s="99">
        <f t="shared" si="3"/>
        <v>2.9088805543719287</v>
      </c>
      <c r="I28" s="99">
        <f t="shared" si="3"/>
        <v>3.9392537029146188</v>
      </c>
      <c r="J28" s="99">
        <f t="shared" si="3"/>
        <v>4.9696268514573099</v>
      </c>
      <c r="K28" s="99">
        <v>6</v>
      </c>
    </row>
    <row r="29" spans="2:11" ht="15" customHeight="1" x14ac:dyDescent="0.15">
      <c r="B29" s="96">
        <v>3</v>
      </c>
      <c r="C29" s="97" t="s">
        <v>177</v>
      </c>
      <c r="D29" s="98">
        <f>'SKOR PPH'!H51</f>
        <v>20.840413670778094</v>
      </c>
      <c r="E29" s="99">
        <f t="shared" si="3"/>
        <v>22.608496404933714</v>
      </c>
      <c r="F29" s="99">
        <f t="shared" si="3"/>
        <v>20.840413670778094</v>
      </c>
      <c r="G29" s="99">
        <f t="shared" si="3"/>
        <v>19.072330936622475</v>
      </c>
      <c r="H29" s="99">
        <f t="shared" si="3"/>
        <v>17.304248202466855</v>
      </c>
      <c r="I29" s="99">
        <f t="shared" si="3"/>
        <v>15.536165468311237</v>
      </c>
      <c r="J29" s="99">
        <f t="shared" si="3"/>
        <v>13.76808273415562</v>
      </c>
      <c r="K29" s="99">
        <v>12</v>
      </c>
    </row>
    <row r="30" spans="2:11" ht="15" customHeight="1" x14ac:dyDescent="0.15">
      <c r="B30" s="96">
        <v>4</v>
      </c>
      <c r="C30" s="97" t="s">
        <v>178</v>
      </c>
      <c r="D30" s="98">
        <f>'SKOR PPH'!H52</f>
        <v>15.740756827665745</v>
      </c>
      <c r="E30" s="99">
        <f t="shared" si="3"/>
        <v>16.888908193198894</v>
      </c>
      <c r="F30" s="99">
        <f t="shared" si="3"/>
        <v>15.740756827665745</v>
      </c>
      <c r="G30" s="99">
        <f t="shared" si="3"/>
        <v>14.592605462132596</v>
      </c>
      <c r="H30" s="99">
        <f t="shared" si="3"/>
        <v>13.444454096599447</v>
      </c>
      <c r="I30" s="99">
        <f t="shared" si="3"/>
        <v>12.296302731066298</v>
      </c>
      <c r="J30" s="99">
        <f t="shared" si="3"/>
        <v>11.148151365533149</v>
      </c>
      <c r="K30" s="99">
        <v>10</v>
      </c>
    </row>
    <row r="31" spans="2:11" ht="15" customHeight="1" x14ac:dyDescent="0.15">
      <c r="B31" s="96">
        <v>5</v>
      </c>
      <c r="C31" s="97" t="s">
        <v>179</v>
      </c>
      <c r="D31" s="98">
        <f>'SKOR PPH'!H53</f>
        <v>8.8025608324727287</v>
      </c>
      <c r="E31" s="99">
        <f t="shared" si="3"/>
        <v>9.9630729989672737</v>
      </c>
      <c r="F31" s="99">
        <f t="shared" si="3"/>
        <v>8.8025608324727287</v>
      </c>
      <c r="G31" s="99">
        <f t="shared" si="3"/>
        <v>7.6420486659781828</v>
      </c>
      <c r="H31" s="99">
        <f t="shared" si="3"/>
        <v>6.4815364994836369</v>
      </c>
      <c r="I31" s="99">
        <f t="shared" si="3"/>
        <v>5.3210243329890918</v>
      </c>
      <c r="J31" s="99">
        <f t="shared" si="3"/>
        <v>4.1605121664945459</v>
      </c>
      <c r="K31" s="99">
        <v>3</v>
      </c>
    </row>
    <row r="32" spans="2:11" ht="15" customHeight="1" x14ac:dyDescent="0.15">
      <c r="B32" s="96">
        <v>6</v>
      </c>
      <c r="C32" s="97" t="s">
        <v>180</v>
      </c>
      <c r="D32" s="98">
        <f>'SKOR PPH'!H54</f>
        <v>1.4898446514500701</v>
      </c>
      <c r="E32" s="99">
        <f t="shared" si="3"/>
        <v>0.78781358174008409</v>
      </c>
      <c r="F32" s="99">
        <f t="shared" si="3"/>
        <v>1.4898446514500701</v>
      </c>
      <c r="G32" s="99">
        <f t="shared" si="3"/>
        <v>2.1918757211600561</v>
      </c>
      <c r="H32" s="99">
        <f t="shared" si="3"/>
        <v>2.8939067908700418</v>
      </c>
      <c r="I32" s="99">
        <f t="shared" si="3"/>
        <v>3.5959378605800283</v>
      </c>
      <c r="J32" s="99">
        <f t="shared" si="3"/>
        <v>4.2979689302900139</v>
      </c>
      <c r="K32" s="99">
        <v>5</v>
      </c>
    </row>
    <row r="33" spans="2:11" ht="15" customHeight="1" x14ac:dyDescent="0.15">
      <c r="B33" s="96">
        <v>7</v>
      </c>
      <c r="C33" s="97" t="s">
        <v>181</v>
      </c>
      <c r="D33" s="98">
        <f>'SKOR PPH'!H55</f>
        <v>5.2891954452342658</v>
      </c>
      <c r="E33" s="99">
        <f t="shared" si="3"/>
        <v>5.3470345342811187</v>
      </c>
      <c r="F33" s="99">
        <f t="shared" si="3"/>
        <v>5.2891954452342658</v>
      </c>
      <c r="G33" s="99">
        <f t="shared" si="3"/>
        <v>5.2313563561874128</v>
      </c>
      <c r="H33" s="99">
        <f t="shared" si="3"/>
        <v>5.1735172671405598</v>
      </c>
      <c r="I33" s="99">
        <f t="shared" si="3"/>
        <v>5.115678178093706</v>
      </c>
      <c r="J33" s="99">
        <f t="shared" si="3"/>
        <v>5.057839089046853</v>
      </c>
      <c r="K33" s="99">
        <v>5</v>
      </c>
    </row>
    <row r="34" spans="2:11" ht="15" customHeight="1" x14ac:dyDescent="0.15">
      <c r="B34" s="96">
        <v>8</v>
      </c>
      <c r="C34" s="97" t="s">
        <v>182</v>
      </c>
      <c r="D34" s="98">
        <f>'SKOR PPH'!H56</f>
        <v>4.3947060720249649</v>
      </c>
      <c r="E34" s="99">
        <f t="shared" si="3"/>
        <v>4.0736472864299582</v>
      </c>
      <c r="F34" s="99">
        <f t="shared" si="3"/>
        <v>4.3947060720249649</v>
      </c>
      <c r="G34" s="99">
        <f t="shared" si="3"/>
        <v>4.7157648576199716</v>
      </c>
      <c r="H34" s="99">
        <f t="shared" si="3"/>
        <v>5.0368236432149791</v>
      </c>
      <c r="I34" s="99">
        <f t="shared" si="3"/>
        <v>5.3578824288099858</v>
      </c>
      <c r="J34" s="99">
        <f t="shared" si="3"/>
        <v>5.6789412144049933</v>
      </c>
      <c r="K34" s="99">
        <v>6</v>
      </c>
    </row>
    <row r="35" spans="2:11" ht="15" customHeight="1" x14ac:dyDescent="0.15">
      <c r="B35" s="96">
        <v>9</v>
      </c>
      <c r="C35" s="97" t="s">
        <v>183</v>
      </c>
      <c r="D35" s="98">
        <f>'SKOR PPH'!H57</f>
        <v>12.156230884374578</v>
      </c>
      <c r="E35" s="99">
        <f t="shared" si="3"/>
        <v>13.987477061249493</v>
      </c>
      <c r="F35" s="99">
        <f t="shared" si="3"/>
        <v>12.156230884374578</v>
      </c>
      <c r="G35" s="99">
        <f t="shared" si="3"/>
        <v>10.324984707499663</v>
      </c>
      <c r="H35" s="99">
        <f t="shared" si="3"/>
        <v>8.4937385306247464</v>
      </c>
      <c r="I35" s="99">
        <f t="shared" si="3"/>
        <v>6.6624923537498315</v>
      </c>
      <c r="J35" s="99">
        <f t="shared" si="3"/>
        <v>4.8312461768749158</v>
      </c>
      <c r="K35" s="99">
        <v>3</v>
      </c>
    </row>
    <row r="36" spans="2:11" ht="15" customHeight="1" x14ac:dyDescent="0.15">
      <c r="B36" s="395"/>
      <c r="C36" s="396"/>
      <c r="D36" s="396"/>
      <c r="E36" s="396"/>
      <c r="F36" s="396"/>
      <c r="G36" s="396"/>
      <c r="H36" s="396"/>
      <c r="I36" s="396"/>
      <c r="J36" s="396"/>
      <c r="K36" s="397"/>
    </row>
    <row r="37" spans="2:11" ht="15" customHeight="1" x14ac:dyDescent="0.15">
      <c r="B37" s="96"/>
      <c r="C37" s="97" t="s">
        <v>196</v>
      </c>
      <c r="D37" s="98">
        <f>'SKOR PPH'!H59</f>
        <v>140.52165283597904</v>
      </c>
      <c r="E37" s="99">
        <f>$D37+(E$9-$D$9)*($K37-$D37)/($K$9-$D$9)</f>
        <v>148.62598340317484</v>
      </c>
      <c r="F37" s="99">
        <f t="shared" ref="F37:J37" si="4">$D37+(F$9-$D$9)*($K37-$D37)/($K$9-$D$9)</f>
        <v>140.52165283597904</v>
      </c>
      <c r="G37" s="99">
        <f t="shared" si="4"/>
        <v>132.41732226878324</v>
      </c>
      <c r="H37" s="99">
        <f t="shared" si="4"/>
        <v>124.31299170158742</v>
      </c>
      <c r="I37" s="99">
        <f t="shared" si="4"/>
        <v>116.20866113439162</v>
      </c>
      <c r="J37" s="99">
        <f t="shared" si="4"/>
        <v>108.1043305671958</v>
      </c>
      <c r="K37" s="98">
        <v>100</v>
      </c>
    </row>
    <row r="38" spans="2:11" ht="15" customHeight="1" x14ac:dyDescent="0.15">
      <c r="B38" s="103"/>
      <c r="C38" s="5"/>
      <c r="D38" s="104"/>
      <c r="E38" s="105"/>
      <c r="F38" s="105"/>
      <c r="G38" s="105"/>
      <c r="H38" s="105"/>
      <c r="I38" s="105"/>
      <c r="J38" s="105"/>
      <c r="K38" s="104"/>
    </row>
    <row r="39" spans="2:11" ht="15" customHeight="1" x14ac:dyDescent="0.15">
      <c r="B39" s="103"/>
      <c r="C39" s="5"/>
      <c r="D39" s="104"/>
      <c r="E39" s="105"/>
      <c r="F39" s="105"/>
      <c r="G39" s="105"/>
      <c r="H39" s="105"/>
      <c r="I39" s="105"/>
      <c r="J39" s="105"/>
      <c r="K39" s="104"/>
    </row>
    <row r="40" spans="2:11" ht="15" customHeight="1" x14ac:dyDescent="0.2">
      <c r="B40" s="390" t="s">
        <v>170</v>
      </c>
      <c r="C40" s="390" t="s">
        <v>171</v>
      </c>
      <c r="D40" s="391" t="s">
        <v>204</v>
      </c>
      <c r="E40" s="391"/>
      <c r="F40" s="391"/>
      <c r="G40" s="391"/>
      <c r="H40" s="391"/>
      <c r="I40" s="391"/>
      <c r="J40" s="391"/>
      <c r="K40" s="391"/>
    </row>
    <row r="41" spans="2:11" ht="15" customHeight="1" x14ac:dyDescent="0.2">
      <c r="B41" s="390"/>
      <c r="C41" s="390"/>
      <c r="D41" s="94">
        <f t="shared" ref="D41:K41" si="5">D25</f>
        <v>2015</v>
      </c>
      <c r="E41" s="94">
        <f t="shared" si="5"/>
        <v>2014</v>
      </c>
      <c r="F41" s="94">
        <f t="shared" si="5"/>
        <v>2015</v>
      </c>
      <c r="G41" s="94">
        <f t="shared" si="5"/>
        <v>2016</v>
      </c>
      <c r="H41" s="94">
        <f t="shared" si="5"/>
        <v>2017</v>
      </c>
      <c r="I41" s="94">
        <f t="shared" si="5"/>
        <v>2018</v>
      </c>
      <c r="J41" s="94">
        <f t="shared" si="5"/>
        <v>2019</v>
      </c>
      <c r="K41" s="94">
        <f t="shared" si="5"/>
        <v>2020</v>
      </c>
    </row>
    <row r="42" spans="2:11" ht="15" customHeight="1" x14ac:dyDescent="0.2">
      <c r="B42" s="392"/>
      <c r="C42" s="393"/>
      <c r="D42" s="393"/>
      <c r="E42" s="393"/>
      <c r="F42" s="393"/>
      <c r="G42" s="393"/>
      <c r="H42" s="393"/>
      <c r="I42" s="393"/>
      <c r="J42" s="393"/>
      <c r="K42" s="394"/>
    </row>
    <row r="43" spans="2:11" ht="15" customHeight="1" x14ac:dyDescent="0.15">
      <c r="B43" s="96">
        <v>1</v>
      </c>
      <c r="C43" s="97" t="s">
        <v>175</v>
      </c>
      <c r="D43" s="98">
        <f>'SKOR PPH'!F49</f>
        <v>1419.1962038938414</v>
      </c>
      <c r="E43" s="99">
        <f t="shared" ref="E43:J51" si="6">$D43+(E$9-$D$9)*($K43-$D43)/($K$9-$D$9)</f>
        <v>1503.0354446726096</v>
      </c>
      <c r="F43" s="99">
        <f t="shared" si="6"/>
        <v>1419.1962038938414</v>
      </c>
      <c r="G43" s="99">
        <f t="shared" si="6"/>
        <v>1335.3569631150731</v>
      </c>
      <c r="H43" s="99">
        <f t="shared" si="6"/>
        <v>1251.5177223363048</v>
      </c>
      <c r="I43" s="99">
        <f t="shared" si="6"/>
        <v>1167.6784815575365</v>
      </c>
      <c r="J43" s="99">
        <f t="shared" si="6"/>
        <v>1083.8392407787683</v>
      </c>
      <c r="K43" s="99">
        <f t="shared" ref="K43:K51" si="7">K27/100*K$53</f>
        <v>1000</v>
      </c>
    </row>
    <row r="44" spans="2:11" ht="15" customHeight="1" x14ac:dyDescent="0.15">
      <c r="B44" s="96">
        <v>2</v>
      </c>
      <c r="C44" s="97" t="s">
        <v>176</v>
      </c>
      <c r="D44" s="98">
        <f>'SKOR PPH'!F50</f>
        <v>16.962685145730951</v>
      </c>
      <c r="E44" s="99">
        <f t="shared" si="6"/>
        <v>-3.6447778251228584</v>
      </c>
      <c r="F44" s="99">
        <f>$D44+(F$9-$D$9)*($K44-$D44)/($K$9-$D$9)</f>
        <v>16.962685145730951</v>
      </c>
      <c r="G44" s="99">
        <f t="shared" si="6"/>
        <v>37.570148116584761</v>
      </c>
      <c r="H44" s="99">
        <f t="shared" si="6"/>
        <v>58.177611087438571</v>
      </c>
      <c r="I44" s="99">
        <f t="shared" si="6"/>
        <v>78.785074058292381</v>
      </c>
      <c r="J44" s="99">
        <f t="shared" si="6"/>
        <v>99.392537029146183</v>
      </c>
      <c r="K44" s="99">
        <f t="shared" si="7"/>
        <v>120</v>
      </c>
    </row>
    <row r="45" spans="2:11" ht="15" customHeight="1" x14ac:dyDescent="0.15">
      <c r="B45" s="96">
        <v>3</v>
      </c>
      <c r="C45" s="97" t="s">
        <v>177</v>
      </c>
      <c r="D45" s="98">
        <f>'SKOR PPH'!F51</f>
        <v>416.80827341556187</v>
      </c>
      <c r="E45" s="99">
        <f t="shared" si="6"/>
        <v>452.16992809867423</v>
      </c>
      <c r="F45" s="99">
        <f t="shared" si="6"/>
        <v>416.80827341556187</v>
      </c>
      <c r="G45" s="99">
        <f t="shared" si="6"/>
        <v>381.44661873244951</v>
      </c>
      <c r="H45" s="99">
        <f t="shared" si="6"/>
        <v>346.08496404933715</v>
      </c>
      <c r="I45" s="99">
        <f t="shared" si="6"/>
        <v>310.72330936622473</v>
      </c>
      <c r="J45" s="99">
        <f t="shared" si="6"/>
        <v>275.36165468311236</v>
      </c>
      <c r="K45" s="99">
        <f t="shared" si="7"/>
        <v>240</v>
      </c>
    </row>
    <row r="46" spans="2:11" ht="15" customHeight="1" x14ac:dyDescent="0.15">
      <c r="B46" s="96">
        <v>4</v>
      </c>
      <c r="C46" s="97" t="s">
        <v>178</v>
      </c>
      <c r="D46" s="98">
        <f>'SKOR PPH'!F52</f>
        <v>314.81513655331491</v>
      </c>
      <c r="E46" s="99">
        <f t="shared" si="6"/>
        <v>337.77816386397791</v>
      </c>
      <c r="F46" s="99">
        <f t="shared" si="6"/>
        <v>314.81513655331491</v>
      </c>
      <c r="G46" s="99">
        <f t="shared" si="6"/>
        <v>291.85210924265192</v>
      </c>
      <c r="H46" s="99">
        <f t="shared" si="6"/>
        <v>268.88908193198893</v>
      </c>
      <c r="I46" s="99">
        <f t="shared" si="6"/>
        <v>245.92605462132596</v>
      </c>
      <c r="J46" s="99">
        <f t="shared" si="6"/>
        <v>222.96302731066299</v>
      </c>
      <c r="K46" s="99">
        <f t="shared" si="7"/>
        <v>200</v>
      </c>
    </row>
    <row r="47" spans="2:11" ht="15" customHeight="1" x14ac:dyDescent="0.15">
      <c r="B47" s="96">
        <v>5</v>
      </c>
      <c r="C47" s="97" t="s">
        <v>179</v>
      </c>
      <c r="D47" s="98">
        <f>'SKOR PPH'!F53</f>
        <v>176.05121664945457</v>
      </c>
      <c r="E47" s="99">
        <f t="shared" si="6"/>
        <v>199.26145997934549</v>
      </c>
      <c r="F47" s="99">
        <f t="shared" si="6"/>
        <v>176.05121664945457</v>
      </c>
      <c r="G47" s="99">
        <f t="shared" si="6"/>
        <v>152.84097331956366</v>
      </c>
      <c r="H47" s="99">
        <f t="shared" si="6"/>
        <v>129.63072998967274</v>
      </c>
      <c r="I47" s="99">
        <f t="shared" si="6"/>
        <v>106.42048665978183</v>
      </c>
      <c r="J47" s="99">
        <f t="shared" si="6"/>
        <v>83.210243329890915</v>
      </c>
      <c r="K47" s="99">
        <f t="shared" si="7"/>
        <v>60</v>
      </c>
    </row>
    <row r="48" spans="2:11" ht="15" customHeight="1" x14ac:dyDescent="0.15">
      <c r="B48" s="96">
        <v>6</v>
      </c>
      <c r="C48" s="97" t="s">
        <v>180</v>
      </c>
      <c r="D48" s="98">
        <f>'SKOR PPH'!F54</f>
        <v>29.796893029001399</v>
      </c>
      <c r="E48" s="99">
        <f t="shared" si="6"/>
        <v>15.756271634801678</v>
      </c>
      <c r="F48" s="99">
        <f t="shared" si="6"/>
        <v>29.796893029001399</v>
      </c>
      <c r="G48" s="99">
        <f t="shared" si="6"/>
        <v>43.837514423201121</v>
      </c>
      <c r="H48" s="99">
        <f t="shared" si="6"/>
        <v>57.878135817400846</v>
      </c>
      <c r="I48" s="99">
        <f t="shared" si="6"/>
        <v>71.918757211600564</v>
      </c>
      <c r="J48" s="99">
        <f t="shared" si="6"/>
        <v>85.959378605800282</v>
      </c>
      <c r="K48" s="99">
        <f t="shared" si="7"/>
        <v>100</v>
      </c>
    </row>
    <row r="49" spans="2:11" ht="15" customHeight="1" x14ac:dyDescent="0.15">
      <c r="B49" s="96">
        <v>7</v>
      </c>
      <c r="C49" s="97" t="s">
        <v>181</v>
      </c>
      <c r="D49" s="98">
        <f>'SKOR PPH'!F55</f>
        <v>105.78390890468532</v>
      </c>
      <c r="E49" s="99">
        <f t="shared" si="6"/>
        <v>106.94069068562239</v>
      </c>
      <c r="F49" s="99">
        <f t="shared" si="6"/>
        <v>105.78390890468532</v>
      </c>
      <c r="G49" s="99">
        <f t="shared" si="6"/>
        <v>104.62712712374825</v>
      </c>
      <c r="H49" s="99">
        <f t="shared" si="6"/>
        <v>103.47034534281119</v>
      </c>
      <c r="I49" s="99">
        <f t="shared" si="6"/>
        <v>102.31356356187413</v>
      </c>
      <c r="J49" s="99">
        <f t="shared" si="6"/>
        <v>101.15678178093707</v>
      </c>
      <c r="K49" s="99">
        <f t="shared" si="7"/>
        <v>100</v>
      </c>
    </row>
    <row r="50" spans="2:11" ht="15" customHeight="1" x14ac:dyDescent="0.15">
      <c r="B50" s="96">
        <v>8</v>
      </c>
      <c r="C50" s="97" t="s">
        <v>182</v>
      </c>
      <c r="D50" s="98">
        <f>'SKOR PPH'!F56</f>
        <v>87.894121440499291</v>
      </c>
      <c r="E50" s="99">
        <f t="shared" si="6"/>
        <v>81.472945728599143</v>
      </c>
      <c r="F50" s="99">
        <f t="shared" si="6"/>
        <v>87.894121440499291</v>
      </c>
      <c r="G50" s="99">
        <f t="shared" si="6"/>
        <v>94.315297152399438</v>
      </c>
      <c r="H50" s="99">
        <f t="shared" si="6"/>
        <v>100.73647286429957</v>
      </c>
      <c r="I50" s="99">
        <f t="shared" si="6"/>
        <v>107.15764857619972</v>
      </c>
      <c r="J50" s="99">
        <f t="shared" si="6"/>
        <v>113.57882428809987</v>
      </c>
      <c r="K50" s="99">
        <f t="shared" si="7"/>
        <v>120</v>
      </c>
    </row>
    <row r="51" spans="2:11" ht="15" customHeight="1" x14ac:dyDescent="0.15">
      <c r="B51" s="96">
        <v>9</v>
      </c>
      <c r="C51" s="97" t="s">
        <v>183</v>
      </c>
      <c r="D51" s="98">
        <f>'SKOR PPH'!F57</f>
        <v>243.12461768749156</v>
      </c>
      <c r="E51" s="99">
        <f t="shared" si="6"/>
        <v>279.74954122498985</v>
      </c>
      <c r="F51" s="99">
        <f t="shared" si="6"/>
        <v>243.12461768749156</v>
      </c>
      <c r="G51" s="99">
        <f t="shared" si="6"/>
        <v>206.49969414999325</v>
      </c>
      <c r="H51" s="99">
        <f t="shared" si="6"/>
        <v>169.87477061249496</v>
      </c>
      <c r="I51" s="99">
        <f t="shared" si="6"/>
        <v>133.24984707499664</v>
      </c>
      <c r="J51" s="99">
        <f t="shared" si="6"/>
        <v>96.624923537498319</v>
      </c>
      <c r="K51" s="99">
        <f t="shared" si="7"/>
        <v>60</v>
      </c>
    </row>
    <row r="52" spans="2:11" ht="15" customHeight="1" x14ac:dyDescent="0.15">
      <c r="B52" s="395"/>
      <c r="C52" s="396"/>
      <c r="D52" s="396"/>
      <c r="E52" s="396"/>
      <c r="F52" s="396"/>
      <c r="G52" s="396"/>
      <c r="H52" s="396"/>
      <c r="I52" s="396"/>
      <c r="J52" s="396"/>
      <c r="K52" s="397"/>
    </row>
    <row r="53" spans="2:11" ht="15" customHeight="1" x14ac:dyDescent="0.15">
      <c r="B53" s="96"/>
      <c r="C53" s="97" t="s">
        <v>209</v>
      </c>
      <c r="D53" s="98">
        <f>'SKOR PPH'!F59</f>
        <v>2810.4330567195811</v>
      </c>
      <c r="E53" s="99">
        <f t="shared" ref="E53:J53" si="8">$D53+(E$9-$D$9)*($K53-$D53)/($K$9-$D$9)</f>
        <v>2972.5196680634972</v>
      </c>
      <c r="F53" s="99">
        <f t="shared" si="8"/>
        <v>2810.4330567195811</v>
      </c>
      <c r="G53" s="99">
        <f t="shared" si="8"/>
        <v>2648.3464453756651</v>
      </c>
      <c r="H53" s="99">
        <f t="shared" si="8"/>
        <v>2486.2598340317486</v>
      </c>
      <c r="I53" s="99">
        <f t="shared" si="8"/>
        <v>2324.1732226878325</v>
      </c>
      <c r="J53" s="99">
        <f t="shared" si="8"/>
        <v>2162.086611343916</v>
      </c>
      <c r="K53" s="98">
        <f>BASELINE!C16</f>
        <v>2000</v>
      </c>
    </row>
    <row r="54" spans="2:11" ht="15" customHeight="1" x14ac:dyDescent="0.15">
      <c r="B54" s="103"/>
      <c r="C54" s="106"/>
      <c r="D54" s="107"/>
      <c r="E54" s="108"/>
      <c r="F54" s="108"/>
      <c r="G54" s="108"/>
      <c r="H54" s="108"/>
      <c r="I54" s="108"/>
      <c r="J54" s="108"/>
      <c r="K54" s="109"/>
    </row>
    <row r="55" spans="2:11" ht="15" customHeight="1" x14ac:dyDescent="0.15">
      <c r="B55" s="103"/>
      <c r="C55" s="106"/>
      <c r="D55" s="107"/>
      <c r="E55" s="108"/>
      <c r="F55" s="108"/>
      <c r="G55" s="108"/>
      <c r="H55" s="108"/>
      <c r="I55" s="108"/>
      <c r="J55" s="108"/>
      <c r="K55" s="109"/>
    </row>
    <row r="56" spans="2:11" ht="15" customHeight="1" x14ac:dyDescent="0.2">
      <c r="B56" s="390" t="s">
        <v>170</v>
      </c>
      <c r="C56" s="390" t="s">
        <v>171</v>
      </c>
      <c r="D56" s="391" t="s">
        <v>202</v>
      </c>
      <c r="E56" s="391"/>
      <c r="F56" s="391"/>
      <c r="G56" s="391"/>
      <c r="H56" s="391"/>
      <c r="I56" s="391"/>
      <c r="J56" s="391"/>
      <c r="K56" s="391"/>
    </row>
    <row r="57" spans="2:11" ht="15" customHeight="1" x14ac:dyDescent="0.2">
      <c r="B57" s="390"/>
      <c r="C57" s="390"/>
      <c r="D57" s="94">
        <f t="shared" ref="D57:K57" si="9">D41</f>
        <v>2015</v>
      </c>
      <c r="E57" s="94">
        <f t="shared" si="9"/>
        <v>2014</v>
      </c>
      <c r="F57" s="94">
        <f t="shared" si="9"/>
        <v>2015</v>
      </c>
      <c r="G57" s="94">
        <f t="shared" si="9"/>
        <v>2016</v>
      </c>
      <c r="H57" s="94">
        <f t="shared" si="9"/>
        <v>2017</v>
      </c>
      <c r="I57" s="94">
        <f t="shared" si="9"/>
        <v>2018</v>
      </c>
      <c r="J57" s="94">
        <f t="shared" si="9"/>
        <v>2019</v>
      </c>
      <c r="K57" s="94">
        <f t="shared" si="9"/>
        <v>2020</v>
      </c>
    </row>
    <row r="58" spans="2:11" ht="15" customHeight="1" x14ac:dyDescent="0.2">
      <c r="B58" s="392"/>
      <c r="C58" s="393"/>
      <c r="D58" s="393"/>
      <c r="E58" s="393"/>
      <c r="F58" s="393"/>
      <c r="G58" s="393"/>
      <c r="H58" s="393"/>
      <c r="I58" s="393"/>
      <c r="J58" s="393"/>
      <c r="K58" s="394"/>
    </row>
    <row r="59" spans="2:11" ht="15" customHeight="1" x14ac:dyDescent="0.15">
      <c r="B59" s="96">
        <v>1</v>
      </c>
      <c r="C59" s="97" t="s">
        <v>175</v>
      </c>
      <c r="D59" s="98">
        <f>'SKOR PPH'!E49</f>
        <v>373.58745019998037</v>
      </c>
      <c r="E59" s="99">
        <f t="shared" ref="E59:J67" si="10">$D59+(E$9-$D$9)*($K59-$D59)/($K$9-$D$9)</f>
        <v>393.30494023997642</v>
      </c>
      <c r="F59" s="99">
        <f t="shared" si="10"/>
        <v>373.58745019998037</v>
      </c>
      <c r="G59" s="99">
        <f t="shared" si="10"/>
        <v>353.86996015998432</v>
      </c>
      <c r="H59" s="99">
        <f t="shared" si="10"/>
        <v>334.15247011998821</v>
      </c>
      <c r="I59" s="99">
        <f t="shared" si="10"/>
        <v>314.43498007999216</v>
      </c>
      <c r="J59" s="99">
        <f t="shared" si="10"/>
        <v>294.71749003999605</v>
      </c>
      <c r="K59" s="99">
        <f>275*($K27/50)*($K$53/2000)</f>
        <v>275</v>
      </c>
    </row>
    <row r="60" spans="2:11" ht="15" customHeight="1" x14ac:dyDescent="0.15">
      <c r="B60" s="96">
        <v>2</v>
      </c>
      <c r="C60" s="97" t="s">
        <v>176</v>
      </c>
      <c r="D60" s="98">
        <f>'SKOR PPH'!E50</f>
        <v>24.840513587628706</v>
      </c>
      <c r="E60" s="99">
        <f t="shared" si="10"/>
        <v>9.8086163051544482</v>
      </c>
      <c r="F60" s="99">
        <f t="shared" si="10"/>
        <v>24.840513587628706</v>
      </c>
      <c r="G60" s="99">
        <f t="shared" si="10"/>
        <v>39.872410870102968</v>
      </c>
      <c r="H60" s="99">
        <f t="shared" si="10"/>
        <v>54.904308152577222</v>
      </c>
      <c r="I60" s="99">
        <f t="shared" si="10"/>
        <v>69.936205435051477</v>
      </c>
      <c r="J60" s="99">
        <f t="shared" si="10"/>
        <v>84.968102717525738</v>
      </c>
      <c r="K60" s="99">
        <f>100*($K28/6)*($K$53/2000)</f>
        <v>100</v>
      </c>
    </row>
    <row r="61" spans="2:11" ht="15" customHeight="1" x14ac:dyDescent="0.15">
      <c r="B61" s="96">
        <v>3</v>
      </c>
      <c r="C61" s="97" t="s">
        <v>177</v>
      </c>
      <c r="D61" s="98">
        <f>'SKOR PPH'!E51</f>
        <v>304.17072105015347</v>
      </c>
      <c r="E61" s="99">
        <f t="shared" si="10"/>
        <v>335.00486526018415</v>
      </c>
      <c r="F61" s="99">
        <f t="shared" si="10"/>
        <v>304.17072105015347</v>
      </c>
      <c r="G61" s="99">
        <f t="shared" si="10"/>
        <v>273.3365768401228</v>
      </c>
      <c r="H61" s="99">
        <f t="shared" si="10"/>
        <v>242.50243263009207</v>
      </c>
      <c r="I61" s="99">
        <f t="shared" si="10"/>
        <v>211.6682884200614</v>
      </c>
      <c r="J61" s="99">
        <f t="shared" si="10"/>
        <v>180.8341442100307</v>
      </c>
      <c r="K61" s="99">
        <f>150*($K29/12)*($K$53/2000)</f>
        <v>150</v>
      </c>
    </row>
    <row r="62" spans="2:11" ht="15" customHeight="1" x14ac:dyDescent="0.15">
      <c r="B62" s="96">
        <v>4</v>
      </c>
      <c r="C62" s="97" t="s">
        <v>178</v>
      </c>
      <c r="D62" s="98">
        <f>'SKOR PPH'!E52</f>
        <v>34.909858618375793</v>
      </c>
      <c r="E62" s="99">
        <f t="shared" si="10"/>
        <v>37.891830342050952</v>
      </c>
      <c r="F62" s="99">
        <f t="shared" si="10"/>
        <v>34.909858618375793</v>
      </c>
      <c r="G62" s="99">
        <f t="shared" si="10"/>
        <v>31.927886894700634</v>
      </c>
      <c r="H62" s="99">
        <f t="shared" si="10"/>
        <v>28.945915171025476</v>
      </c>
      <c r="I62" s="99">
        <f t="shared" si="10"/>
        <v>25.963943447350317</v>
      </c>
      <c r="J62" s="99">
        <f t="shared" si="10"/>
        <v>22.981971723675159</v>
      </c>
      <c r="K62" s="99">
        <f>20*($K30/10)*($K$53/2000)</f>
        <v>20</v>
      </c>
    </row>
    <row r="63" spans="2:11" ht="15" customHeight="1" x14ac:dyDescent="0.15">
      <c r="B63" s="96">
        <v>5</v>
      </c>
      <c r="C63" s="97" t="s">
        <v>179</v>
      </c>
      <c r="D63" s="98">
        <f>'SKOR PPH'!E53</f>
        <v>32.2742124462346</v>
      </c>
      <c r="E63" s="99">
        <f t="shared" si="10"/>
        <v>36.729054935481521</v>
      </c>
      <c r="F63" s="99">
        <f t="shared" si="10"/>
        <v>32.2742124462346</v>
      </c>
      <c r="G63" s="99">
        <f t="shared" si="10"/>
        <v>27.819369956987678</v>
      </c>
      <c r="H63" s="99">
        <f t="shared" si="10"/>
        <v>23.364527467740761</v>
      </c>
      <c r="I63" s="99">
        <f t="shared" si="10"/>
        <v>18.909684978493839</v>
      </c>
      <c r="J63" s="99">
        <f t="shared" si="10"/>
        <v>14.454842489246921</v>
      </c>
      <c r="K63" s="99">
        <f>10*($K31/3)*($K$53/2000)</f>
        <v>10</v>
      </c>
    </row>
    <row r="64" spans="2:11" ht="15" customHeight="1" x14ac:dyDescent="0.15">
      <c r="B64" s="96">
        <v>6</v>
      </c>
      <c r="C64" s="97" t="s">
        <v>180</v>
      </c>
      <c r="D64" s="98">
        <f>'SKOR PPH'!E54</f>
        <v>12.420386328589153</v>
      </c>
      <c r="E64" s="99">
        <f t="shared" si="10"/>
        <v>7.9044635943069839</v>
      </c>
      <c r="F64" s="99">
        <f t="shared" si="10"/>
        <v>12.420386328589153</v>
      </c>
      <c r="G64" s="99">
        <f t="shared" si="10"/>
        <v>16.936309062871324</v>
      </c>
      <c r="H64" s="99">
        <f t="shared" si="10"/>
        <v>21.452231797153491</v>
      </c>
      <c r="I64" s="99">
        <f t="shared" si="10"/>
        <v>25.968154531435662</v>
      </c>
      <c r="J64" s="99">
        <f t="shared" si="10"/>
        <v>30.484077265717829</v>
      </c>
      <c r="K64" s="99">
        <f>35*($K32/5)*($K$53/2000)</f>
        <v>35</v>
      </c>
    </row>
    <row r="65" spans="2:11" ht="15" customHeight="1" x14ac:dyDescent="0.15">
      <c r="B65" s="96">
        <v>7</v>
      </c>
      <c r="C65" s="97" t="s">
        <v>181</v>
      </c>
      <c r="D65" s="98">
        <f>'SKOR PPH'!E55</f>
        <v>29.0525381991324</v>
      </c>
      <c r="E65" s="99">
        <f t="shared" si="10"/>
        <v>28.863045838958879</v>
      </c>
      <c r="F65" s="99">
        <f t="shared" si="10"/>
        <v>29.0525381991324</v>
      </c>
      <c r="G65" s="99">
        <f t="shared" si="10"/>
        <v>29.24203055930592</v>
      </c>
      <c r="H65" s="99">
        <f t="shared" si="10"/>
        <v>29.431522919479441</v>
      </c>
      <c r="I65" s="99">
        <f t="shared" si="10"/>
        <v>29.621015279652958</v>
      </c>
      <c r="J65" s="99">
        <f t="shared" si="10"/>
        <v>29.810507639826479</v>
      </c>
      <c r="K65" s="99">
        <f>30*($K33/5)*($K$53/2000)</f>
        <v>30</v>
      </c>
    </row>
    <row r="66" spans="2:11" ht="15" customHeight="1" x14ac:dyDescent="0.15">
      <c r="B66" s="96">
        <v>8</v>
      </c>
      <c r="C66" s="97" t="s">
        <v>182</v>
      </c>
      <c r="D66" s="98">
        <f>'SKOR PPH'!E56</f>
        <v>176.00546124111429</v>
      </c>
      <c r="E66" s="99">
        <f t="shared" si="10"/>
        <v>161.20655348933715</v>
      </c>
      <c r="F66" s="99">
        <f t="shared" si="10"/>
        <v>176.00546124111429</v>
      </c>
      <c r="G66" s="99">
        <f t="shared" si="10"/>
        <v>190.80436899289143</v>
      </c>
      <c r="H66" s="99">
        <f t="shared" si="10"/>
        <v>205.60327674466856</v>
      </c>
      <c r="I66" s="99">
        <f t="shared" si="10"/>
        <v>220.40218449644573</v>
      </c>
      <c r="J66" s="99">
        <f t="shared" si="10"/>
        <v>235.20109224822286</v>
      </c>
      <c r="K66" s="99">
        <f>250*($K34/6)*($K$53/2000)</f>
        <v>250</v>
      </c>
    </row>
    <row r="67" spans="2:11" ht="15" customHeight="1" x14ac:dyDescent="0.15">
      <c r="B67" s="96">
        <v>9</v>
      </c>
      <c r="C67" s="97" t="s">
        <v>183</v>
      </c>
      <c r="D67" s="98">
        <f>'SKOR PPH'!E57</f>
        <v>1025.1717528742397</v>
      </c>
      <c r="E67" s="99">
        <f t="shared" si="10"/>
        <v>1230.2061034490875</v>
      </c>
      <c r="F67" s="99">
        <f t="shared" si="10"/>
        <v>1025.1717528742397</v>
      </c>
      <c r="G67" s="99">
        <f t="shared" si="10"/>
        <v>820.13740229939174</v>
      </c>
      <c r="H67" s="99">
        <f t="shared" si="10"/>
        <v>615.10305172454377</v>
      </c>
      <c r="I67" s="99">
        <f t="shared" si="10"/>
        <v>410.06870114969593</v>
      </c>
      <c r="J67" s="99">
        <f t="shared" si="10"/>
        <v>205.03435057484796</v>
      </c>
      <c r="K67" s="99">
        <f>0*($K35/3)*($K$53/2000)</f>
        <v>0</v>
      </c>
    </row>
  </sheetData>
  <mergeCells count="20">
    <mergeCell ref="B20:K20"/>
    <mergeCell ref="B2:E2"/>
    <mergeCell ref="D8:K8"/>
    <mergeCell ref="B8:B9"/>
    <mergeCell ref="C8:C9"/>
    <mergeCell ref="B10:K10"/>
    <mergeCell ref="B24:B25"/>
    <mergeCell ref="C24:C25"/>
    <mergeCell ref="D24:K24"/>
    <mergeCell ref="B26:K26"/>
    <mergeCell ref="B36:K36"/>
    <mergeCell ref="B40:B41"/>
    <mergeCell ref="C40:C41"/>
    <mergeCell ref="D40:K40"/>
    <mergeCell ref="B58:K58"/>
    <mergeCell ref="B42:K42"/>
    <mergeCell ref="B52:K52"/>
    <mergeCell ref="B56:B57"/>
    <mergeCell ref="C56:C57"/>
    <mergeCell ref="D56:K56"/>
  </mergeCells>
  <phoneticPr fontId="0" type="noConversion"/>
  <pageMargins left="0.74803149606299213" right="0.74803149606299213" top="0.98425196850393704" bottom="0.98425196850393704" header="0.51181102362204722" footer="0.51181102362204722"/>
  <pageSetup paperSize="9" scale="52"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D77"/>
  <sheetViews>
    <sheetView zoomScale="80" zoomScaleNormal="80" workbookViewId="0">
      <pane xSplit="4" ySplit="11" topLeftCell="X21" activePane="bottomRight" state="frozen"/>
      <selection pane="topRight" activeCell="E1" sqref="E1"/>
      <selection pane="bottomLeft" activeCell="A12" sqref="A12"/>
      <selection pane="bottomRight" activeCell="E11" sqref="E11"/>
    </sheetView>
  </sheetViews>
  <sheetFormatPr defaultRowHeight="14.1" customHeight="1" outlineLevelRow="2" x14ac:dyDescent="0.2"/>
  <cols>
    <col min="1" max="1" width="10.28515625" style="16" customWidth="1"/>
    <col min="2" max="2" width="9.5703125" style="16" hidden="1" customWidth="1"/>
    <col min="3" max="3" width="66.28515625" style="16" customWidth="1"/>
    <col min="4" max="4" width="0.5703125" style="16" hidden="1" customWidth="1"/>
    <col min="5" max="12" width="17.7109375" style="16" customWidth="1"/>
    <col min="13" max="13" width="19.42578125" style="16" hidden="1" customWidth="1"/>
    <col min="14" max="21" width="17.7109375" style="16" customWidth="1"/>
    <col min="22" max="22" width="10.5703125" style="24" hidden="1" customWidth="1"/>
    <col min="23" max="30" width="17.7109375" style="16" customWidth="1"/>
    <col min="31" max="16384" width="9.140625" style="16"/>
  </cols>
  <sheetData>
    <row r="1" spans="2:30" ht="14.1" customHeight="1" x14ac:dyDescent="0.2">
      <c r="B1" s="23"/>
    </row>
    <row r="2" spans="2:30" ht="14.1" customHeight="1" x14ac:dyDescent="0.2">
      <c r="C2" s="25"/>
      <c r="D2" s="23"/>
      <c r="E2" s="23"/>
      <c r="M2" s="23"/>
    </row>
    <row r="3" spans="2:30" ht="14.1" customHeight="1" x14ac:dyDescent="0.2">
      <c r="B3" s="23"/>
    </row>
    <row r="4" spans="2:30" ht="14.1" customHeight="1" x14ac:dyDescent="0.2">
      <c r="C4" s="7" t="str">
        <f>UPPER(BASELINE!$C$8)</f>
        <v>BADAN KETAHANAN PANGAN DAN PENYULUHAN</v>
      </c>
      <c r="E4" s="18"/>
      <c r="L4" s="10" t="str">
        <f>UPPER(CONCATENATE(BASELINE!$C$13," PROYEKSI KONSUMSI PANGAN PENDUDUK"))</f>
        <v>JUSTIFIKASI PROYEKSI KONSUMSI PANGAN PENDUDUK</v>
      </c>
      <c r="U4" s="10" t="str">
        <f>UPPER(CONCATENATE(BASELINE!$C$13," PROYEKSI KONSUMSI PANGAN PENDUDUK"))</f>
        <v>JUSTIFIKASI PROYEKSI KONSUMSI PANGAN PENDUDUK</v>
      </c>
      <c r="V4" s="27"/>
      <c r="AD4" s="10" t="str">
        <f>UPPER(CONCATENATE(BASELINE!$C$13," PROYEKSI KONSUMSI PANGAN PENDUDUK"))</f>
        <v>JUSTIFIKASI PROYEKSI KONSUMSI PANGAN PENDUDUK</v>
      </c>
    </row>
    <row r="5" spans="2:30" ht="14.1" customHeight="1" x14ac:dyDescent="0.2">
      <c r="C5" s="7" t="str">
        <f>UPPER(CONCATENATE(IF(UPPER(BASELINE!$C$7)="INDONESIA","KEMENTRIAN PERTANIAN","PROPINSI "),BASELINE!$C$7))</f>
        <v>PROPINSI SUMATERA BARAT</v>
      </c>
      <c r="D5" s="71"/>
      <c r="E5" s="17"/>
      <c r="H5" s="72"/>
      <c r="J5" s="27"/>
      <c r="K5" s="27"/>
      <c r="L5" s="10" t="s">
        <v>395</v>
      </c>
      <c r="M5" s="71"/>
      <c r="Q5" s="72"/>
      <c r="S5" s="27"/>
      <c r="T5" s="27"/>
      <c r="U5" s="10" t="s">
        <v>395</v>
      </c>
      <c r="V5" s="27"/>
      <c r="Z5" s="72"/>
      <c r="AB5" s="27"/>
      <c r="AC5" s="27"/>
      <c r="AD5" s="10" t="s">
        <v>395</v>
      </c>
    </row>
    <row r="6" spans="2:30" ht="14.1" customHeight="1" x14ac:dyDescent="0.2">
      <c r="C6" s="7" t="str">
        <f>UPPER(BASELINE!$C$9)</f>
        <v>JL H AGUS SALIM PAINAN</v>
      </c>
      <c r="D6" s="28"/>
      <c r="E6" s="72"/>
      <c r="F6" s="28"/>
      <c r="I6" s="24"/>
      <c r="J6" s="27"/>
      <c r="K6" s="29"/>
      <c r="L6" s="10" t="str">
        <f>UPPER(CONCATENATE(IF(UPPER(BASELINE!$C$7)="INDONESIA","","PROPINSI "),BASELINE!$C$7," TAHUN ",BASELINE!$C$12))</f>
        <v>PROPINSI SUMATERA BARAT TAHUN 2015</v>
      </c>
      <c r="M6" s="28"/>
      <c r="N6" s="28"/>
      <c r="O6" s="28"/>
      <c r="R6" s="24"/>
      <c r="S6" s="27"/>
      <c r="T6" s="29"/>
      <c r="U6" s="10" t="str">
        <f>UPPER(CONCATENATE(IF(UPPER(BASELINE!$C$7)="INDONESIA","","PROPINSI "),BASELINE!$C$7," TAHUN ",BASELINE!$C$12))</f>
        <v>PROPINSI SUMATERA BARAT TAHUN 2015</v>
      </c>
      <c r="V6" s="27"/>
      <c r="W6" s="28"/>
      <c r="X6" s="28"/>
      <c r="AA6" s="24"/>
      <c r="AB6" s="27"/>
      <c r="AC6" s="29"/>
      <c r="AD6" s="10" t="str">
        <f>UPPER(CONCATENATE(IF(UPPER(BASELINE!$C$7)="INDONESIA","","PROPINSI "),BASELINE!$C$7," TAHUN ",BASELINE!$C$12))</f>
        <v>PROPINSI SUMATERA BARAT TAHUN 2015</v>
      </c>
    </row>
    <row r="7" spans="2:30" ht="14.1" customHeight="1" x14ac:dyDescent="0.2">
      <c r="B7" s="18"/>
      <c r="D7" s="28"/>
      <c r="E7" s="72"/>
      <c r="F7" s="28"/>
      <c r="I7" s="24"/>
      <c r="J7" s="27"/>
      <c r="K7" s="29"/>
      <c r="L7" s="30"/>
      <c r="M7" s="28"/>
      <c r="N7" s="28"/>
      <c r="O7" s="28"/>
      <c r="R7" s="24"/>
      <c r="S7" s="27"/>
      <c r="T7" s="29"/>
      <c r="U7" s="30"/>
      <c r="V7" s="27"/>
      <c r="W7" s="28"/>
      <c r="X7" s="28"/>
      <c r="AA7" s="24"/>
      <c r="AB7" s="27"/>
      <c r="AC7" s="29"/>
      <c r="AD7" s="30"/>
    </row>
    <row r="8" spans="2:30" ht="14.1" customHeight="1" x14ac:dyDescent="0.2">
      <c r="B8" s="24"/>
      <c r="C8" s="24"/>
      <c r="D8" s="24"/>
      <c r="E8" s="24"/>
      <c r="F8" s="24"/>
      <c r="G8" s="24"/>
      <c r="H8" s="24"/>
      <c r="I8" s="24"/>
      <c r="J8" s="24"/>
      <c r="K8" s="24"/>
      <c r="L8" s="24"/>
      <c r="M8" s="24"/>
      <c r="N8" s="24"/>
      <c r="O8" s="24"/>
      <c r="P8" s="24"/>
      <c r="Q8" s="24"/>
      <c r="R8" s="24"/>
      <c r="S8" s="24"/>
      <c r="T8" s="24"/>
      <c r="U8" s="24"/>
      <c r="W8" s="24"/>
      <c r="X8" s="24"/>
      <c r="Y8" s="24"/>
      <c r="Z8" s="24"/>
      <c r="AA8" s="24"/>
      <c r="AB8" s="24"/>
      <c r="AC8" s="24"/>
      <c r="AD8" s="24"/>
    </row>
    <row r="9" spans="2:30" ht="14.1" customHeight="1" x14ac:dyDescent="0.2">
      <c r="B9" s="351" t="s">
        <v>4</v>
      </c>
      <c r="C9" s="364" t="s">
        <v>185</v>
      </c>
      <c r="D9" s="401" t="s">
        <v>394</v>
      </c>
      <c r="E9" s="361" t="s">
        <v>392</v>
      </c>
      <c r="F9" s="362"/>
      <c r="G9" s="362"/>
      <c r="H9" s="362"/>
      <c r="I9" s="362"/>
      <c r="J9" s="362"/>
      <c r="K9" s="362"/>
      <c r="L9" s="363"/>
      <c r="M9" s="401" t="s">
        <v>419</v>
      </c>
      <c r="N9" s="376" t="s">
        <v>418</v>
      </c>
      <c r="O9" s="376"/>
      <c r="P9" s="376"/>
      <c r="Q9" s="376"/>
      <c r="R9" s="376"/>
      <c r="S9" s="376"/>
      <c r="T9" s="376"/>
      <c r="U9" s="376"/>
      <c r="V9" s="28"/>
      <c r="W9" s="376" t="s">
        <v>397</v>
      </c>
      <c r="X9" s="376"/>
      <c r="Y9" s="376"/>
      <c r="Z9" s="376"/>
      <c r="AA9" s="376"/>
      <c r="AB9" s="376"/>
      <c r="AC9" s="376"/>
      <c r="AD9" s="376"/>
    </row>
    <row r="10" spans="2:30" ht="14.1" customHeight="1" x14ac:dyDescent="0.2">
      <c r="B10" s="358"/>
      <c r="C10" s="364"/>
      <c r="D10" s="401"/>
      <c r="E10" s="31" t="s">
        <v>391</v>
      </c>
      <c r="F10" s="361" t="s">
        <v>393</v>
      </c>
      <c r="G10" s="362"/>
      <c r="H10" s="362"/>
      <c r="I10" s="362"/>
      <c r="J10" s="362"/>
      <c r="K10" s="362"/>
      <c r="L10" s="363"/>
      <c r="M10" s="401"/>
      <c r="N10" s="73" t="s">
        <v>391</v>
      </c>
      <c r="O10" s="358" t="s">
        <v>393</v>
      </c>
      <c r="P10" s="358"/>
      <c r="Q10" s="358"/>
      <c r="R10" s="358"/>
      <c r="S10" s="358"/>
      <c r="T10" s="358"/>
      <c r="U10" s="358"/>
      <c r="V10" s="32"/>
      <c r="W10" s="73" t="s">
        <v>391</v>
      </c>
      <c r="X10" s="358" t="s">
        <v>393</v>
      </c>
      <c r="Y10" s="358"/>
      <c r="Z10" s="358"/>
      <c r="AA10" s="358"/>
      <c r="AB10" s="358"/>
      <c r="AC10" s="358"/>
      <c r="AD10" s="358"/>
    </row>
    <row r="11" spans="2:30" ht="14.1" customHeight="1" x14ac:dyDescent="0.2">
      <c r="B11" s="358"/>
      <c r="C11" s="364"/>
      <c r="D11" s="401"/>
      <c r="E11" s="74">
        <f>'SASARAN PPH'!D9</f>
        <v>2015</v>
      </c>
      <c r="F11" s="35">
        <f>'SASARAN PPH'!E9</f>
        <v>2014</v>
      </c>
      <c r="G11" s="35">
        <f>'SASARAN PPH'!F9</f>
        <v>2015</v>
      </c>
      <c r="H11" s="35">
        <f>'SASARAN PPH'!G9</f>
        <v>2016</v>
      </c>
      <c r="I11" s="35">
        <f>'SASARAN PPH'!H9</f>
        <v>2017</v>
      </c>
      <c r="J11" s="35">
        <f>'SASARAN PPH'!I9</f>
        <v>2018</v>
      </c>
      <c r="K11" s="35">
        <f>'SASARAN PPH'!J9</f>
        <v>2019</v>
      </c>
      <c r="L11" s="35">
        <f>'SASARAN PPH'!K$9</f>
        <v>2020</v>
      </c>
      <c r="M11" s="401"/>
      <c r="N11" s="36">
        <f t="shared" ref="N11:U11" si="0">E11</f>
        <v>2015</v>
      </c>
      <c r="O11" s="36">
        <f t="shared" si="0"/>
        <v>2014</v>
      </c>
      <c r="P11" s="36">
        <f t="shared" si="0"/>
        <v>2015</v>
      </c>
      <c r="Q11" s="36">
        <f t="shared" si="0"/>
        <v>2016</v>
      </c>
      <c r="R11" s="36">
        <f t="shared" si="0"/>
        <v>2017</v>
      </c>
      <c r="S11" s="36">
        <f t="shared" si="0"/>
        <v>2018</v>
      </c>
      <c r="T11" s="36">
        <f t="shared" si="0"/>
        <v>2019</v>
      </c>
      <c r="U11" s="34">
        <f t="shared" si="0"/>
        <v>2020</v>
      </c>
      <c r="V11" s="30"/>
      <c r="W11" s="36">
        <f t="shared" ref="W11:AD11" si="1">N11</f>
        <v>2015</v>
      </c>
      <c r="X11" s="36">
        <f t="shared" si="1"/>
        <v>2014</v>
      </c>
      <c r="Y11" s="36">
        <f t="shared" si="1"/>
        <v>2015</v>
      </c>
      <c r="Z11" s="36">
        <f t="shared" si="1"/>
        <v>2016</v>
      </c>
      <c r="AA11" s="36">
        <f t="shared" si="1"/>
        <v>2017</v>
      </c>
      <c r="AB11" s="36">
        <f t="shared" si="1"/>
        <v>2018</v>
      </c>
      <c r="AC11" s="36">
        <f t="shared" si="1"/>
        <v>2019</v>
      </c>
      <c r="AD11" s="34">
        <f t="shared" si="1"/>
        <v>2020</v>
      </c>
    </row>
    <row r="12" spans="2:30" ht="14.1" customHeight="1" outlineLevel="2" x14ac:dyDescent="0.2">
      <c r="B12" s="37"/>
      <c r="C12" s="38" t="s">
        <v>208</v>
      </c>
      <c r="D12" s="38"/>
      <c r="E12" s="402"/>
      <c r="F12" s="373"/>
      <c r="G12" s="373"/>
      <c r="H12" s="373"/>
      <c r="I12" s="373"/>
      <c r="J12" s="373"/>
      <c r="K12" s="373"/>
      <c r="L12" s="374"/>
      <c r="M12" s="38"/>
      <c r="N12" s="398"/>
      <c r="O12" s="399"/>
      <c r="P12" s="399"/>
      <c r="Q12" s="399"/>
      <c r="R12" s="399"/>
      <c r="S12" s="399"/>
      <c r="T12" s="399"/>
      <c r="U12" s="400"/>
      <c r="V12" s="40"/>
      <c r="W12" s="398"/>
      <c r="X12" s="399"/>
      <c r="Y12" s="399"/>
      <c r="Z12" s="399"/>
      <c r="AA12" s="399"/>
      <c r="AB12" s="399"/>
      <c r="AC12" s="399"/>
      <c r="AD12" s="400"/>
    </row>
    <row r="13" spans="2:30" ht="14.1" customHeight="1" outlineLevel="2" x14ac:dyDescent="0.2">
      <c r="B13" s="41">
        <v>1</v>
      </c>
      <c r="C13" s="42" t="s">
        <v>137</v>
      </c>
      <c r="D13" s="75">
        <f>E13/E$16*100</f>
        <v>83.179529507067102</v>
      </c>
      <c r="E13" s="76">
        <f t="array" ref="E13">SUM(IF(SUSENAS!$AB$11:$AB$256=$B13,SUSENAS!$AQ$11:$AQ$255,0))</f>
        <v>1180.4807251810539</v>
      </c>
      <c r="F13" s="77">
        <f t="shared" ref="F13:L15" si="2">F$16*$D13/100</f>
        <v>1250.2178112031306</v>
      </c>
      <c r="G13" s="77">
        <f t="shared" si="2"/>
        <v>1180.4807251810539</v>
      </c>
      <c r="H13" s="77">
        <f t="shared" si="2"/>
        <v>1110.7436391589772</v>
      </c>
      <c r="I13" s="77">
        <f t="shared" si="2"/>
        <v>1041.0065531369007</v>
      </c>
      <c r="J13" s="77">
        <f t="shared" si="2"/>
        <v>971.26946711482424</v>
      </c>
      <c r="K13" s="77">
        <f t="shared" si="2"/>
        <v>901.53238109274764</v>
      </c>
      <c r="L13" s="77">
        <f t="shared" si="2"/>
        <v>831.79529507067093</v>
      </c>
      <c r="M13" s="75">
        <f>N13/N$16*100</f>
        <v>87.276601951034976</v>
      </c>
      <c r="N13" s="76">
        <f t="array" ref="N13">SUM(IF(SUSENAS!$AB$11:$AB$256=$B13,SUSENAS!$AU$11:$AU$255,0))</f>
        <v>326.05443185005788</v>
      </c>
      <c r="O13" s="77">
        <f t="shared" ref="O13:U15" si="3">O$16*$M13/100</f>
        <v>343.26318714700022</v>
      </c>
      <c r="P13" s="77">
        <f t="shared" si="3"/>
        <v>326.05443185005788</v>
      </c>
      <c r="Q13" s="77">
        <f t="shared" si="3"/>
        <v>308.84567655311554</v>
      </c>
      <c r="R13" s="77">
        <f t="shared" si="3"/>
        <v>291.6369212561732</v>
      </c>
      <c r="S13" s="77">
        <f t="shared" si="3"/>
        <v>274.42816595923085</v>
      </c>
      <c r="T13" s="77">
        <f t="shared" si="3"/>
        <v>257.21941066228851</v>
      </c>
      <c r="U13" s="77">
        <f t="shared" si="3"/>
        <v>240.01065536534617</v>
      </c>
      <c r="V13" s="45"/>
      <c r="W13" s="78">
        <f t="shared" ref="W13:AD16" si="4">N13*365/1000</f>
        <v>119.00986762527113</v>
      </c>
      <c r="X13" s="78">
        <f t="shared" si="4"/>
        <v>125.29106330865508</v>
      </c>
      <c r="Y13" s="78">
        <f t="shared" si="4"/>
        <v>119.00986762527113</v>
      </c>
      <c r="Z13" s="78">
        <f t="shared" si="4"/>
        <v>112.72867194188717</v>
      </c>
      <c r="AA13" s="78">
        <f t="shared" si="4"/>
        <v>106.44747625850322</v>
      </c>
      <c r="AB13" s="78">
        <f t="shared" si="4"/>
        <v>100.16628057511926</v>
      </c>
      <c r="AC13" s="78">
        <f t="shared" si="4"/>
        <v>93.885084891735303</v>
      </c>
      <c r="AD13" s="78">
        <f t="shared" si="4"/>
        <v>87.603889208351347</v>
      </c>
    </row>
    <row r="14" spans="2:30" ht="14.1" customHeight="1" outlineLevel="2" x14ac:dyDescent="0.2">
      <c r="B14" s="41">
        <v>2</v>
      </c>
      <c r="C14" s="37" t="s">
        <v>138</v>
      </c>
      <c r="D14" s="79">
        <f>E14/E$16*100</f>
        <v>5.2381877259896431E-2</v>
      </c>
      <c r="E14" s="76">
        <f t="array" ref="E14">SUM(IF(SUSENAS!$AB$11:$AB$256=$B14,SUSENAS!$AQ$11:$AQ$255,0))</f>
        <v>0.7434016136007815</v>
      </c>
      <c r="F14" s="44">
        <f t="shared" si="2"/>
        <v>0.78731818180114488</v>
      </c>
      <c r="G14" s="44">
        <f t="shared" si="2"/>
        <v>0.74340161360078139</v>
      </c>
      <c r="H14" s="44">
        <f t="shared" si="2"/>
        <v>0.69948504540041812</v>
      </c>
      <c r="I14" s="44">
        <f t="shared" si="2"/>
        <v>0.65556847720005462</v>
      </c>
      <c r="J14" s="44">
        <f t="shared" si="2"/>
        <v>0.61165190899969124</v>
      </c>
      <c r="K14" s="44">
        <f t="shared" si="2"/>
        <v>0.56773534079932775</v>
      </c>
      <c r="L14" s="44">
        <f t="shared" si="2"/>
        <v>0.52381877259896437</v>
      </c>
      <c r="M14" s="79">
        <f>N14/N$16*100</f>
        <v>0.15577101365005866</v>
      </c>
      <c r="N14" s="76">
        <f t="array" ref="N14">SUM(IF(SUSENAS!$AB$11:$AB$256=$B14,SUSENAS!$AU$11:$AU$255,0))</f>
        <v>0.5819409580459175</v>
      </c>
      <c r="O14" s="44">
        <f t="shared" si="3"/>
        <v>0.61265509214756875</v>
      </c>
      <c r="P14" s="44">
        <f t="shared" si="3"/>
        <v>0.5819409580459175</v>
      </c>
      <c r="Q14" s="44">
        <f t="shared" si="3"/>
        <v>0.55122682394426636</v>
      </c>
      <c r="R14" s="44">
        <f t="shared" si="3"/>
        <v>0.52051268984261501</v>
      </c>
      <c r="S14" s="44">
        <f t="shared" si="3"/>
        <v>0.48979855574096381</v>
      </c>
      <c r="T14" s="44">
        <f t="shared" si="3"/>
        <v>0.45908442163931257</v>
      </c>
      <c r="U14" s="44">
        <f t="shared" si="3"/>
        <v>0.42837028753766132</v>
      </c>
      <c r="V14" s="45"/>
      <c r="W14" s="78">
        <f t="shared" si="4"/>
        <v>0.2124084496867599</v>
      </c>
      <c r="X14" s="78">
        <f t="shared" si="4"/>
        <v>0.22361910863386258</v>
      </c>
      <c r="Y14" s="78">
        <f t="shared" si="4"/>
        <v>0.2124084496867599</v>
      </c>
      <c r="Z14" s="78">
        <f t="shared" si="4"/>
        <v>0.20119779073965721</v>
      </c>
      <c r="AA14" s="78">
        <f t="shared" si="4"/>
        <v>0.18998713179255447</v>
      </c>
      <c r="AB14" s="78">
        <f t="shared" si="4"/>
        <v>0.17877647284545178</v>
      </c>
      <c r="AC14" s="78">
        <f t="shared" si="4"/>
        <v>0.1675658138983491</v>
      </c>
      <c r="AD14" s="78">
        <f t="shared" si="4"/>
        <v>0.15635515495124638</v>
      </c>
    </row>
    <row r="15" spans="2:30" ht="14.1" customHeight="1" outlineLevel="2" x14ac:dyDescent="0.2">
      <c r="B15" s="41">
        <v>3</v>
      </c>
      <c r="C15" s="37" t="s">
        <v>139</v>
      </c>
      <c r="D15" s="79">
        <f>E15/E$16*100</f>
        <v>16.768088615673012</v>
      </c>
      <c r="E15" s="76">
        <f t="array" ref="E15">SUM(IF(SUSENAS!$AB$11:$AB$256=$B15,SUSENAS!$AQ$11:$AQ$255,0))</f>
        <v>237.97207709918675</v>
      </c>
      <c r="F15" s="44">
        <f t="shared" si="2"/>
        <v>252.03031528767809</v>
      </c>
      <c r="G15" s="44">
        <f t="shared" si="2"/>
        <v>237.97207709918675</v>
      </c>
      <c r="H15" s="44">
        <f t="shared" si="2"/>
        <v>223.9138389106954</v>
      </c>
      <c r="I15" s="44">
        <f t="shared" si="2"/>
        <v>209.85560072220412</v>
      </c>
      <c r="J15" s="44">
        <f t="shared" si="2"/>
        <v>195.79736253371277</v>
      </c>
      <c r="K15" s="44">
        <f t="shared" si="2"/>
        <v>181.73912434522146</v>
      </c>
      <c r="L15" s="44">
        <f t="shared" si="2"/>
        <v>167.68088615673011</v>
      </c>
      <c r="M15" s="79">
        <f>N15/N$16*100</f>
        <v>12.567627035314977</v>
      </c>
      <c r="N15" s="76">
        <f t="array" ref="N15">SUM(IF(SUSENAS!$AB$11:$AB$256=$B15,SUSENAS!$AU$11:$AU$255,0))</f>
        <v>46.951077391876609</v>
      </c>
      <c r="O15" s="44">
        <f t="shared" si="3"/>
        <v>49.429098000828688</v>
      </c>
      <c r="P15" s="44">
        <f t="shared" si="3"/>
        <v>46.951077391876609</v>
      </c>
      <c r="Q15" s="44">
        <f t="shared" si="3"/>
        <v>44.47305678292453</v>
      </c>
      <c r="R15" s="44">
        <f t="shared" si="3"/>
        <v>41.995036173972437</v>
      </c>
      <c r="S15" s="44">
        <f t="shared" si="3"/>
        <v>39.517015565020358</v>
      </c>
      <c r="T15" s="44">
        <f t="shared" si="3"/>
        <v>37.038994956068265</v>
      </c>
      <c r="U15" s="44">
        <f t="shared" si="3"/>
        <v>34.560974347116186</v>
      </c>
      <c r="V15" s="45"/>
      <c r="W15" s="78">
        <f t="shared" si="4"/>
        <v>17.13714324803496</v>
      </c>
      <c r="X15" s="78">
        <f t="shared" si="4"/>
        <v>18.041620770302469</v>
      </c>
      <c r="Y15" s="78">
        <f t="shared" si="4"/>
        <v>17.13714324803496</v>
      </c>
      <c r="Z15" s="78">
        <f t="shared" si="4"/>
        <v>16.232665725767454</v>
      </c>
      <c r="AA15" s="78">
        <f t="shared" si="4"/>
        <v>15.328188203499939</v>
      </c>
      <c r="AB15" s="78">
        <f t="shared" si="4"/>
        <v>14.42371068123243</v>
      </c>
      <c r="AC15" s="78">
        <f t="shared" si="4"/>
        <v>13.519233158964916</v>
      </c>
      <c r="AD15" s="78">
        <f t="shared" si="4"/>
        <v>12.614755636697408</v>
      </c>
    </row>
    <row r="16" spans="2:30" ht="14.1" customHeight="1" outlineLevel="1" x14ac:dyDescent="0.2">
      <c r="B16" s="49"/>
      <c r="C16" s="49" t="s">
        <v>140</v>
      </c>
      <c r="D16" s="79">
        <f>SUM(D13:D15)</f>
        <v>100</v>
      </c>
      <c r="E16" s="80">
        <f>SUM(E$13:E$15)</f>
        <v>1419.1962038938414</v>
      </c>
      <c r="F16" s="44">
        <f>'SASARAN PPH'!E$43</f>
        <v>1503.0354446726096</v>
      </c>
      <c r="G16" s="44">
        <f>'SASARAN PPH'!F$43</f>
        <v>1419.1962038938414</v>
      </c>
      <c r="H16" s="44">
        <f>'SASARAN PPH'!G$43</f>
        <v>1335.3569631150731</v>
      </c>
      <c r="I16" s="44">
        <f>'SASARAN PPH'!H$43</f>
        <v>1251.5177223363048</v>
      </c>
      <c r="J16" s="44">
        <f>'SASARAN PPH'!I$43</f>
        <v>1167.6784815575365</v>
      </c>
      <c r="K16" s="44">
        <f>'SASARAN PPH'!J$43</f>
        <v>1083.8392407787683</v>
      </c>
      <c r="L16" s="44">
        <f>'SASARAN PPH'!K$43</f>
        <v>1000</v>
      </c>
      <c r="M16" s="79">
        <f>SUM(M13:M15)</f>
        <v>100</v>
      </c>
      <c r="N16" s="80">
        <f>SUM(N$13:N$15)</f>
        <v>373.58745019998037</v>
      </c>
      <c r="O16" s="44">
        <f>'SASARAN PPH'!E$59</f>
        <v>393.30494023997642</v>
      </c>
      <c r="P16" s="44">
        <f>'SASARAN PPH'!F$59</f>
        <v>373.58745019998037</v>
      </c>
      <c r="Q16" s="44">
        <f>'SASARAN PPH'!G$59</f>
        <v>353.86996015998432</v>
      </c>
      <c r="R16" s="44">
        <f>'SASARAN PPH'!H$59</f>
        <v>334.15247011998821</v>
      </c>
      <c r="S16" s="44">
        <f>'SASARAN PPH'!I$59</f>
        <v>314.43498007999216</v>
      </c>
      <c r="T16" s="44">
        <f>'SASARAN PPH'!J$59</f>
        <v>294.71749003999605</v>
      </c>
      <c r="U16" s="44">
        <f>'SASARAN PPH'!K$59</f>
        <v>275</v>
      </c>
      <c r="V16" s="45"/>
      <c r="W16" s="78">
        <f t="shared" si="4"/>
        <v>136.35941932299281</v>
      </c>
      <c r="X16" s="78">
        <f t="shared" si="4"/>
        <v>143.5563031875914</v>
      </c>
      <c r="Y16" s="78">
        <f t="shared" si="4"/>
        <v>136.35941932299281</v>
      </c>
      <c r="Z16" s="78">
        <f t="shared" si="4"/>
        <v>129.16253545839427</v>
      </c>
      <c r="AA16" s="78">
        <f t="shared" si="4"/>
        <v>121.9656515937957</v>
      </c>
      <c r="AB16" s="78">
        <f t="shared" si="4"/>
        <v>114.76876772919714</v>
      </c>
      <c r="AC16" s="78">
        <f t="shared" si="4"/>
        <v>107.57188386459855</v>
      </c>
      <c r="AD16" s="78">
        <f t="shared" si="4"/>
        <v>100.375</v>
      </c>
    </row>
    <row r="17" spans="2:30" ht="14.1" customHeight="1" outlineLevel="2" x14ac:dyDescent="0.2">
      <c r="B17" s="37"/>
      <c r="C17" s="50" t="s">
        <v>189</v>
      </c>
      <c r="D17" s="81"/>
      <c r="E17" s="82"/>
      <c r="F17" s="51"/>
      <c r="G17" s="52"/>
      <c r="H17" s="52"/>
      <c r="I17" s="52"/>
      <c r="J17" s="52"/>
      <c r="K17" s="52"/>
      <c r="L17" s="53"/>
      <c r="M17" s="81"/>
      <c r="N17" s="82"/>
      <c r="O17" s="51"/>
      <c r="P17" s="52"/>
      <c r="Q17" s="52"/>
      <c r="R17" s="52"/>
      <c r="S17" s="52"/>
      <c r="T17" s="52"/>
      <c r="U17" s="53"/>
      <c r="V17" s="45"/>
      <c r="W17" s="83"/>
      <c r="X17" s="84"/>
      <c r="Y17" s="85"/>
      <c r="Z17" s="85"/>
      <c r="AA17" s="85"/>
      <c r="AB17" s="85"/>
      <c r="AC17" s="85"/>
      <c r="AD17" s="86"/>
    </row>
    <row r="18" spans="2:30" ht="14.1" customHeight="1" outlineLevel="2" x14ac:dyDescent="0.2">
      <c r="B18" s="41">
        <v>4</v>
      </c>
      <c r="C18" s="37" t="s">
        <v>384</v>
      </c>
      <c r="D18" s="79">
        <f>E18/E$23*100</f>
        <v>18.544107641532115</v>
      </c>
      <c r="E18" s="76">
        <f t="array" ref="E18">SUM(IF(SUSENAS!$AB$11:$AB$256=$B18,SUSENAS!$AQ$11:$AQ$255,0))</f>
        <v>3.1455785923185262</v>
      </c>
      <c r="F18" s="44">
        <f t="shared" ref="F18:L22" si="5">F$23*$D18/100</f>
        <v>-0.67589152318547607</v>
      </c>
      <c r="G18" s="44">
        <f t="shared" si="5"/>
        <v>3.1455785923185262</v>
      </c>
      <c r="H18" s="44">
        <f t="shared" si="5"/>
        <v>6.9670487078225287</v>
      </c>
      <c r="I18" s="44">
        <f t="shared" si="5"/>
        <v>10.78851882332653</v>
      </c>
      <c r="J18" s="44">
        <f t="shared" si="5"/>
        <v>14.609988938830533</v>
      </c>
      <c r="K18" s="44">
        <f t="shared" si="5"/>
        <v>18.431459054334535</v>
      </c>
      <c r="L18" s="44">
        <f t="shared" si="5"/>
        <v>22.252929169838538</v>
      </c>
      <c r="M18" s="79">
        <f>N18/N$23*100</f>
        <v>10.04668208957747</v>
      </c>
      <c r="N18" s="76">
        <f t="array" ref="N18">SUM(IF(SUSENAS!$AB$11:$AB$256=$B18,SUSENAS!$AU$11:$AU$255,0))</f>
        <v>2.495647429567351</v>
      </c>
      <c r="O18" s="44">
        <f t="shared" ref="O18:U22" si="6">O$23*$M18/100</f>
        <v>0.98544049756532726</v>
      </c>
      <c r="P18" s="44">
        <f t="shared" si="6"/>
        <v>2.495647429567351</v>
      </c>
      <c r="Q18" s="44">
        <f t="shared" si="6"/>
        <v>4.0058543615693747</v>
      </c>
      <c r="R18" s="44">
        <f t="shared" si="6"/>
        <v>5.516061293571398</v>
      </c>
      <c r="S18" s="44">
        <f t="shared" si="6"/>
        <v>7.0262682255734212</v>
      </c>
      <c r="T18" s="44">
        <f t="shared" si="6"/>
        <v>8.5364751575754454</v>
      </c>
      <c r="U18" s="44">
        <f t="shared" si="6"/>
        <v>10.04668208957747</v>
      </c>
      <c r="V18" s="45"/>
      <c r="W18" s="78">
        <f t="shared" ref="W18:AD23" si="7">N18*365/1000</f>
        <v>0.91091131179208307</v>
      </c>
      <c r="X18" s="78">
        <f t="shared" si="7"/>
        <v>0.35968578161134446</v>
      </c>
      <c r="Y18" s="78">
        <f t="shared" si="7"/>
        <v>0.91091131179208307</v>
      </c>
      <c r="Z18" s="78">
        <f t="shared" si="7"/>
        <v>1.4621368419728218</v>
      </c>
      <c r="AA18" s="78">
        <f t="shared" si="7"/>
        <v>2.0133623721535603</v>
      </c>
      <c r="AB18" s="78">
        <f t="shared" si="7"/>
        <v>2.5645879023342988</v>
      </c>
      <c r="AC18" s="78">
        <f t="shared" si="7"/>
        <v>3.1158134325150377</v>
      </c>
      <c r="AD18" s="78">
        <f t="shared" si="7"/>
        <v>3.6670389626957762</v>
      </c>
    </row>
    <row r="19" spans="2:30" ht="14.1" customHeight="1" outlineLevel="2" x14ac:dyDescent="0.2">
      <c r="B19" s="41">
        <v>5</v>
      </c>
      <c r="C19" s="37" t="s">
        <v>141</v>
      </c>
      <c r="D19" s="79">
        <f>E19/E$23*100</f>
        <v>19.145547912245924</v>
      </c>
      <c r="E19" s="76">
        <f t="array" ref="E19">SUM(IF(SUSENAS!$AB$11:$AB$256=$B19,SUSENAS!$AQ$11:$AQ$255,0))</f>
        <v>3.2475990117793416</v>
      </c>
      <c r="F19" s="44">
        <f t="shared" si="5"/>
        <v>-0.69781268480381187</v>
      </c>
      <c r="G19" s="44">
        <f t="shared" si="5"/>
        <v>3.2475990117793416</v>
      </c>
      <c r="H19" s="44">
        <f t="shared" si="5"/>
        <v>7.1930107083624959</v>
      </c>
      <c r="I19" s="44">
        <f t="shared" si="5"/>
        <v>11.138422404945647</v>
      </c>
      <c r="J19" s="44">
        <f t="shared" si="5"/>
        <v>15.083834101528803</v>
      </c>
      <c r="K19" s="44">
        <f t="shared" si="5"/>
        <v>19.029245798111955</v>
      </c>
      <c r="L19" s="44">
        <f t="shared" si="5"/>
        <v>22.974657494695109</v>
      </c>
      <c r="M19" s="79">
        <f>N19/N$23*100</f>
        <v>10.442332095896321</v>
      </c>
      <c r="N19" s="76">
        <f t="array" ref="N19">SUM(IF(SUSENAS!$AB$11:$AB$256=$B19,SUSENAS!$AU$11:$AU$255,0))</f>
        <v>2.5939289231464393</v>
      </c>
      <c r="O19" s="44">
        <f t="shared" si="6"/>
        <v>1.0242482885964628</v>
      </c>
      <c r="P19" s="44">
        <f t="shared" si="6"/>
        <v>2.5939289231464393</v>
      </c>
      <c r="Q19" s="44">
        <f t="shared" si="6"/>
        <v>4.1636095576964154</v>
      </c>
      <c r="R19" s="44">
        <f t="shared" si="6"/>
        <v>5.7332901922463915</v>
      </c>
      <c r="S19" s="44">
        <f t="shared" si="6"/>
        <v>7.3029708267963676</v>
      </c>
      <c r="T19" s="44">
        <f t="shared" si="6"/>
        <v>8.8726514613463436</v>
      </c>
      <c r="U19" s="44">
        <f t="shared" si="6"/>
        <v>10.442332095896321</v>
      </c>
      <c r="V19" s="45"/>
      <c r="W19" s="78">
        <f t="shared" si="7"/>
        <v>0.94678405694845036</v>
      </c>
      <c r="X19" s="78">
        <f t="shared" si="7"/>
        <v>0.37385062533770891</v>
      </c>
      <c r="Y19" s="78">
        <f t="shared" si="7"/>
        <v>0.94678405694845036</v>
      </c>
      <c r="Z19" s="78">
        <f t="shared" si="7"/>
        <v>1.5197174885591918</v>
      </c>
      <c r="AA19" s="78">
        <f t="shared" si="7"/>
        <v>2.0926509201699326</v>
      </c>
      <c r="AB19" s="78">
        <f t="shared" si="7"/>
        <v>2.6655843517806743</v>
      </c>
      <c r="AC19" s="78">
        <f t="shared" si="7"/>
        <v>3.2385177833914152</v>
      </c>
      <c r="AD19" s="78">
        <f t="shared" si="7"/>
        <v>3.8114512150021569</v>
      </c>
    </row>
    <row r="20" spans="2:30" ht="14.1" customHeight="1" outlineLevel="2" x14ac:dyDescent="0.2">
      <c r="B20" s="41">
        <v>6</v>
      </c>
      <c r="C20" s="37" t="s">
        <v>142</v>
      </c>
      <c r="D20" s="79">
        <f>E20/E$23*100</f>
        <v>59.224923010819985</v>
      </c>
      <c r="E20" s="76">
        <f t="array" ref="E20">SUM(IF(SUSENAS!$AB$11:$AB$256=$B20,SUSENAS!$AQ$11:$AQ$255,0))</f>
        <v>10.046137218126955</v>
      </c>
      <c r="F20" s="44">
        <f t="shared" si="5"/>
        <v>-2.158616860844452</v>
      </c>
      <c r="G20" s="44">
        <f t="shared" si="5"/>
        <v>10.046137218126955</v>
      </c>
      <c r="H20" s="44">
        <f t="shared" si="5"/>
        <v>22.250891297098359</v>
      </c>
      <c r="I20" s="44">
        <f t="shared" si="5"/>
        <v>34.455645376069768</v>
      </c>
      <c r="J20" s="44">
        <f t="shared" si="5"/>
        <v>46.660399455041173</v>
      </c>
      <c r="K20" s="44">
        <f t="shared" si="5"/>
        <v>58.86515353401257</v>
      </c>
      <c r="L20" s="44">
        <f t="shared" si="5"/>
        <v>71.069907612983982</v>
      </c>
      <c r="M20" s="79">
        <f>N20/N$23*100</f>
        <v>77.654666595794936</v>
      </c>
      <c r="N20" s="76">
        <f t="array" ref="N20">SUM(IF(SUSENAS!$AB$11:$AB$256=$B20,SUSENAS!$AU$11:$AU$255,0))</f>
        <v>19.289818007156214</v>
      </c>
      <c r="O20" s="44">
        <f t="shared" si="6"/>
        <v>7.616848289428467</v>
      </c>
      <c r="P20" s="44">
        <f t="shared" si="6"/>
        <v>19.28981800715621</v>
      </c>
      <c r="Q20" s="44">
        <f t="shared" si="6"/>
        <v>30.96278772488396</v>
      </c>
      <c r="R20" s="44">
        <f t="shared" si="6"/>
        <v>42.635757442611705</v>
      </c>
      <c r="S20" s="44">
        <f t="shared" si="6"/>
        <v>54.308727160339437</v>
      </c>
      <c r="T20" s="44">
        <f t="shared" si="6"/>
        <v>65.981696878067183</v>
      </c>
      <c r="U20" s="44">
        <f t="shared" si="6"/>
        <v>77.654666595794936</v>
      </c>
      <c r="V20" s="45"/>
      <c r="W20" s="78">
        <f t="shared" si="7"/>
        <v>7.0407835726120185</v>
      </c>
      <c r="X20" s="78">
        <f t="shared" si="7"/>
        <v>2.7801496256413909</v>
      </c>
      <c r="Y20" s="78">
        <f t="shared" si="7"/>
        <v>7.0407835726120167</v>
      </c>
      <c r="Z20" s="78">
        <f t="shared" si="7"/>
        <v>11.301417519582644</v>
      </c>
      <c r="AA20" s="78">
        <f t="shared" si="7"/>
        <v>15.562051466553273</v>
      </c>
      <c r="AB20" s="78">
        <f t="shared" si="7"/>
        <v>19.822685413523892</v>
      </c>
      <c r="AC20" s="78">
        <f t="shared" si="7"/>
        <v>24.083319360494524</v>
      </c>
      <c r="AD20" s="78">
        <f t="shared" si="7"/>
        <v>28.343953307465153</v>
      </c>
    </row>
    <row r="21" spans="2:30" ht="14.1" customHeight="1" outlineLevel="2" x14ac:dyDescent="0.2">
      <c r="B21" s="41">
        <v>7</v>
      </c>
      <c r="C21" s="37" t="s">
        <v>12</v>
      </c>
      <c r="D21" s="79">
        <f>E21/E$23*100</f>
        <v>0</v>
      </c>
      <c r="E21" s="76">
        <f t="array" ref="E21">SUM(IF(SUSENAS!$AB$11:$AB$256=$B21,SUSENAS!$AQ$11:$AQ$255,0))</f>
        <v>0</v>
      </c>
      <c r="F21" s="44">
        <f t="shared" si="5"/>
        <v>0</v>
      </c>
      <c r="G21" s="44">
        <f t="shared" si="5"/>
        <v>0</v>
      </c>
      <c r="H21" s="44">
        <f t="shared" si="5"/>
        <v>0</v>
      </c>
      <c r="I21" s="44">
        <f t="shared" si="5"/>
        <v>0</v>
      </c>
      <c r="J21" s="44">
        <f t="shared" si="5"/>
        <v>0</v>
      </c>
      <c r="K21" s="44">
        <f t="shared" si="5"/>
        <v>0</v>
      </c>
      <c r="L21" s="44">
        <f t="shared" si="5"/>
        <v>0</v>
      </c>
      <c r="M21" s="79">
        <f>N21/N$23*100</f>
        <v>0</v>
      </c>
      <c r="N21" s="76">
        <f t="array" ref="N21">SUM(IF(SUSENAS!$AB$11:$AB$256=$B21,SUSENAS!$AU$11:$AU$255,0))</f>
        <v>0</v>
      </c>
      <c r="O21" s="44">
        <f t="shared" si="6"/>
        <v>0</v>
      </c>
      <c r="P21" s="44">
        <f t="shared" si="6"/>
        <v>0</v>
      </c>
      <c r="Q21" s="44">
        <f t="shared" si="6"/>
        <v>0</v>
      </c>
      <c r="R21" s="44">
        <f t="shared" si="6"/>
        <v>0</v>
      </c>
      <c r="S21" s="44">
        <f t="shared" si="6"/>
        <v>0</v>
      </c>
      <c r="T21" s="44">
        <f t="shared" si="6"/>
        <v>0</v>
      </c>
      <c r="U21" s="44">
        <f t="shared" si="6"/>
        <v>0</v>
      </c>
      <c r="V21" s="45"/>
      <c r="W21" s="78">
        <f t="shared" si="7"/>
        <v>0</v>
      </c>
      <c r="X21" s="78">
        <f t="shared" si="7"/>
        <v>0</v>
      </c>
      <c r="Y21" s="78">
        <f t="shared" si="7"/>
        <v>0</v>
      </c>
      <c r="Z21" s="78">
        <f t="shared" si="7"/>
        <v>0</v>
      </c>
      <c r="AA21" s="78">
        <f t="shared" si="7"/>
        <v>0</v>
      </c>
      <c r="AB21" s="78">
        <f t="shared" si="7"/>
        <v>0</v>
      </c>
      <c r="AC21" s="78">
        <f t="shared" si="7"/>
        <v>0</v>
      </c>
      <c r="AD21" s="78">
        <f t="shared" si="7"/>
        <v>0</v>
      </c>
    </row>
    <row r="22" spans="2:30" ht="14.1" customHeight="1" outlineLevel="2" x14ac:dyDescent="0.2">
      <c r="B22" s="41">
        <v>8</v>
      </c>
      <c r="C22" s="37" t="s">
        <v>143</v>
      </c>
      <c r="D22" s="79">
        <f>E22/E$23*100</f>
        <v>3.0854214354019596</v>
      </c>
      <c r="E22" s="76">
        <f t="array" ref="E22">SUM(IF(SUSENAS!$AB$11:$AB$256=$B22,SUSENAS!$AQ$11:$AQ$255,0))</f>
        <v>0.52337032350612689</v>
      </c>
      <c r="F22" s="44">
        <f t="shared" si="5"/>
        <v>-0.11245675628911803</v>
      </c>
      <c r="G22" s="44">
        <f t="shared" si="5"/>
        <v>0.52337032350612689</v>
      </c>
      <c r="H22" s="44">
        <f t="shared" si="5"/>
        <v>1.1591974033013719</v>
      </c>
      <c r="I22" s="44">
        <f t="shared" si="5"/>
        <v>1.7950244830966167</v>
      </c>
      <c r="J22" s="44">
        <f t="shared" si="5"/>
        <v>2.4308515628918617</v>
      </c>
      <c r="K22" s="44">
        <f t="shared" si="5"/>
        <v>3.0666786426871062</v>
      </c>
      <c r="L22" s="44">
        <f t="shared" si="5"/>
        <v>3.7025057224823512</v>
      </c>
      <c r="M22" s="79">
        <f>N22/N$23*100</f>
        <v>1.8563192187312616</v>
      </c>
      <c r="N22" s="76">
        <f t="array" ref="N22">SUM(IF(SUSENAS!$AB$11:$AB$256=$B22,SUSENAS!$AU$11:$AU$255,0))</f>
        <v>0.46111922775870212</v>
      </c>
      <c r="O22" s="44">
        <f t="shared" si="6"/>
        <v>0.18207922956419018</v>
      </c>
      <c r="P22" s="44">
        <f t="shared" si="6"/>
        <v>0.46111922775870207</v>
      </c>
      <c r="Q22" s="44">
        <f t="shared" si="6"/>
        <v>0.74015922595321404</v>
      </c>
      <c r="R22" s="44">
        <f t="shared" si="6"/>
        <v>1.0191992241477259</v>
      </c>
      <c r="S22" s="44">
        <f t="shared" si="6"/>
        <v>1.2982392223422377</v>
      </c>
      <c r="T22" s="44">
        <f t="shared" si="6"/>
        <v>1.5772792205367496</v>
      </c>
      <c r="U22" s="44">
        <f t="shared" si="6"/>
        <v>1.8563192187312614</v>
      </c>
      <c r="V22" s="45"/>
      <c r="W22" s="78">
        <f t="shared" si="7"/>
        <v>0.16830851813192627</v>
      </c>
      <c r="X22" s="78">
        <f t="shared" si="7"/>
        <v>6.6458918790929411E-2</v>
      </c>
      <c r="Y22" s="78">
        <f t="shared" si="7"/>
        <v>0.16830851813192627</v>
      </c>
      <c r="Z22" s="78">
        <f t="shared" si="7"/>
        <v>0.27015811747292318</v>
      </c>
      <c r="AA22" s="78">
        <f t="shared" si="7"/>
        <v>0.37200771681391998</v>
      </c>
      <c r="AB22" s="78">
        <f t="shared" si="7"/>
        <v>0.47385731615491677</v>
      </c>
      <c r="AC22" s="78">
        <f t="shared" si="7"/>
        <v>0.57570691549591357</v>
      </c>
      <c r="AD22" s="78">
        <f t="shared" si="7"/>
        <v>0.67755651483691037</v>
      </c>
    </row>
    <row r="23" spans="2:30" ht="14.1" customHeight="1" outlineLevel="1" x14ac:dyDescent="0.2">
      <c r="B23" s="49"/>
      <c r="C23" s="49" t="s">
        <v>144</v>
      </c>
      <c r="D23" s="79">
        <f>SUM(D18:D21)</f>
        <v>96.914578564598031</v>
      </c>
      <c r="E23" s="80">
        <f>SUM(E$18:E$22)</f>
        <v>16.962685145730951</v>
      </c>
      <c r="F23" s="44">
        <f>'SASARAN PPH'!E$44</f>
        <v>-3.6447778251228584</v>
      </c>
      <c r="G23" s="44">
        <f>'SASARAN PPH'!F$44</f>
        <v>16.962685145730951</v>
      </c>
      <c r="H23" s="44">
        <f>'SASARAN PPH'!G$44</f>
        <v>37.570148116584761</v>
      </c>
      <c r="I23" s="44">
        <f>'SASARAN PPH'!H$44</f>
        <v>58.177611087438571</v>
      </c>
      <c r="J23" s="44">
        <f>'SASARAN PPH'!I$44</f>
        <v>78.785074058292381</v>
      </c>
      <c r="K23" s="44">
        <f>'SASARAN PPH'!J$44</f>
        <v>99.392537029146183</v>
      </c>
      <c r="L23" s="44">
        <f>'SASARAN PPH'!K$44</f>
        <v>120</v>
      </c>
      <c r="M23" s="79">
        <f>SUM(M18:M21)</f>
        <v>98.143680781268728</v>
      </c>
      <c r="N23" s="80">
        <f>SUM(N$18:N$22)</f>
        <v>24.840513587628706</v>
      </c>
      <c r="O23" s="44">
        <f>'SASARAN PPH'!E$60</f>
        <v>9.8086163051544482</v>
      </c>
      <c r="P23" s="44">
        <f>'SASARAN PPH'!F$60</f>
        <v>24.840513587628706</v>
      </c>
      <c r="Q23" s="44">
        <f>'SASARAN PPH'!G$60</f>
        <v>39.872410870102968</v>
      </c>
      <c r="R23" s="44">
        <f>'SASARAN PPH'!H$60</f>
        <v>54.904308152577222</v>
      </c>
      <c r="S23" s="44">
        <f>'SASARAN PPH'!I$60</f>
        <v>69.936205435051477</v>
      </c>
      <c r="T23" s="44">
        <f>'SASARAN PPH'!J$60</f>
        <v>84.968102717525738</v>
      </c>
      <c r="U23" s="44">
        <f>'SASARAN PPH'!K$60</f>
        <v>100</v>
      </c>
      <c r="V23" s="45"/>
      <c r="W23" s="78">
        <f t="shared" si="7"/>
        <v>9.0667874594844786</v>
      </c>
      <c r="X23" s="78">
        <f t="shared" si="7"/>
        <v>3.5801449513813735</v>
      </c>
      <c r="Y23" s="78">
        <f t="shared" si="7"/>
        <v>9.0667874594844786</v>
      </c>
      <c r="Z23" s="78">
        <f t="shared" si="7"/>
        <v>14.553429967587583</v>
      </c>
      <c r="AA23" s="78">
        <f t="shared" si="7"/>
        <v>20.040072475690685</v>
      </c>
      <c r="AB23" s="78">
        <f t="shared" si="7"/>
        <v>25.526714983793791</v>
      </c>
      <c r="AC23" s="78">
        <f t="shared" si="7"/>
        <v>31.013357491896894</v>
      </c>
      <c r="AD23" s="78">
        <f t="shared" si="7"/>
        <v>36.5</v>
      </c>
    </row>
    <row r="24" spans="2:30" ht="14.1" customHeight="1" outlineLevel="2" x14ac:dyDescent="0.2">
      <c r="B24" s="37"/>
      <c r="C24" s="50" t="s">
        <v>187</v>
      </c>
      <c r="D24" s="81"/>
      <c r="E24" s="82"/>
      <c r="F24" s="51"/>
      <c r="G24" s="52"/>
      <c r="H24" s="52"/>
      <c r="I24" s="52"/>
      <c r="J24" s="52"/>
      <c r="K24" s="52"/>
      <c r="L24" s="53"/>
      <c r="M24" s="81"/>
      <c r="N24" s="82"/>
      <c r="O24" s="51"/>
      <c r="P24" s="52"/>
      <c r="Q24" s="52"/>
      <c r="R24" s="52"/>
      <c r="S24" s="52"/>
      <c r="T24" s="52"/>
      <c r="U24" s="53"/>
      <c r="V24" s="45"/>
      <c r="W24" s="83"/>
      <c r="X24" s="84"/>
      <c r="Y24" s="85"/>
      <c r="Z24" s="85"/>
      <c r="AA24" s="85"/>
      <c r="AB24" s="85"/>
      <c r="AC24" s="85"/>
      <c r="AD24" s="86"/>
    </row>
    <row r="25" spans="2:30" ht="14.1" customHeight="1" outlineLevel="2" x14ac:dyDescent="0.2">
      <c r="B25" s="41">
        <v>9</v>
      </c>
      <c r="C25" s="37" t="s">
        <v>145</v>
      </c>
      <c r="D25" s="79">
        <f>E25/E$30*100</f>
        <v>0.5684074980198891</v>
      </c>
      <c r="E25" s="76">
        <f t="array" ref="E25">SUM(IF(SUSENAS!$AB$11:$AB$256=$B25,SUSENAS!$AQ$11:$AQ$255,0))</f>
        <v>2.3691694784612936</v>
      </c>
      <c r="F25" s="44">
        <f t="shared" ref="F25:L29" si="8">F$30*$D25/100</f>
        <v>2.5701677751040055</v>
      </c>
      <c r="G25" s="44">
        <f t="shared" si="8"/>
        <v>2.3691694784612936</v>
      </c>
      <c r="H25" s="44">
        <f t="shared" si="8"/>
        <v>2.1681711818185816</v>
      </c>
      <c r="I25" s="44">
        <f t="shared" si="8"/>
        <v>1.9671728851758701</v>
      </c>
      <c r="J25" s="44">
        <f t="shared" si="8"/>
        <v>1.7661745885331579</v>
      </c>
      <c r="K25" s="44">
        <f t="shared" si="8"/>
        <v>1.5651762918904459</v>
      </c>
      <c r="L25" s="44">
        <f t="shared" si="8"/>
        <v>1.3641779952477338</v>
      </c>
      <c r="M25" s="79">
        <f>N25/N$30*100</f>
        <v>0.29317195709755478</v>
      </c>
      <c r="N25" s="76">
        <f t="array" ref="N25">SUM(IF(SUSENAS!$AB$11:$AB$256=$B25,SUSENAS!$AU$11:$AU$255,0))</f>
        <v>0.89174325582047897</v>
      </c>
      <c r="O25" s="44">
        <f t="shared" ref="O25:U29" si="9">O$30*$M25/100</f>
        <v>0.98214031985530825</v>
      </c>
      <c r="P25" s="44">
        <f t="shared" si="9"/>
        <v>0.89174325582047897</v>
      </c>
      <c r="Q25" s="44">
        <f t="shared" si="9"/>
        <v>0.80134619178564959</v>
      </c>
      <c r="R25" s="44">
        <f t="shared" si="9"/>
        <v>0.7109491277508202</v>
      </c>
      <c r="S25" s="44">
        <f t="shared" si="9"/>
        <v>0.62055206371599092</v>
      </c>
      <c r="T25" s="44">
        <f t="shared" si="9"/>
        <v>0.53015499968116153</v>
      </c>
      <c r="U25" s="44">
        <f t="shared" si="9"/>
        <v>0.43975793564633214</v>
      </c>
      <c r="V25" s="45"/>
      <c r="W25" s="78">
        <f t="shared" ref="W25:AD30" si="10">N25*365/1000</f>
        <v>0.32548628837447485</v>
      </c>
      <c r="X25" s="78">
        <f t="shared" si="10"/>
        <v>0.35848121674718747</v>
      </c>
      <c r="Y25" s="78">
        <f t="shared" si="10"/>
        <v>0.32548628837447485</v>
      </c>
      <c r="Z25" s="78">
        <f t="shared" si="10"/>
        <v>0.29249136000176207</v>
      </c>
      <c r="AA25" s="78">
        <f t="shared" si="10"/>
        <v>0.2594964316290494</v>
      </c>
      <c r="AB25" s="78">
        <f t="shared" si="10"/>
        <v>0.22650150325633669</v>
      </c>
      <c r="AC25" s="78">
        <f t="shared" si="10"/>
        <v>0.19350657488362397</v>
      </c>
      <c r="AD25" s="78">
        <f t="shared" si="10"/>
        <v>0.16051164651091121</v>
      </c>
    </row>
    <row r="26" spans="2:30" ht="14.1" customHeight="1" outlineLevel="2" x14ac:dyDescent="0.2">
      <c r="B26" s="41">
        <v>10</v>
      </c>
      <c r="C26" s="37" t="s">
        <v>146</v>
      </c>
      <c r="D26" s="79">
        <f>E26/E$30*100</f>
        <v>8.1150166159801369</v>
      </c>
      <c r="E26" s="76">
        <f t="array" ref="E26">SUM(IF(SUSENAS!$AB$11:$AB$256=$B26,SUSENAS!$AQ$11:$AQ$255,0))</f>
        <v>33.824060644452771</v>
      </c>
      <c r="F26" s="44">
        <f t="shared" si="8"/>
        <v>36.693664797672852</v>
      </c>
      <c r="G26" s="44">
        <f t="shared" si="8"/>
        <v>33.824060644452764</v>
      </c>
      <c r="H26" s="44">
        <f t="shared" si="8"/>
        <v>30.954456491232676</v>
      </c>
      <c r="I26" s="44">
        <f t="shared" si="8"/>
        <v>28.084852338012592</v>
      </c>
      <c r="J26" s="44">
        <f t="shared" si="8"/>
        <v>25.215248184792504</v>
      </c>
      <c r="K26" s="44">
        <f t="shared" si="8"/>
        <v>22.345644031572416</v>
      </c>
      <c r="L26" s="44">
        <f t="shared" si="8"/>
        <v>19.476039878352328</v>
      </c>
      <c r="M26" s="79">
        <f>N26/N$30*100</f>
        <v>3.6719273112357911</v>
      </c>
      <c r="N26" s="76">
        <f t="array" ref="N26">SUM(IF(SUSENAS!$AB$11:$AB$256=$B26,SUSENAS!$AU$11:$AU$255,0))</f>
        <v>11.16892777902342</v>
      </c>
      <c r="O26" s="44">
        <f t="shared" si="9"/>
        <v>12.301135141457364</v>
      </c>
      <c r="P26" s="44">
        <f t="shared" si="9"/>
        <v>11.168927779023418</v>
      </c>
      <c r="Q26" s="44">
        <f t="shared" si="9"/>
        <v>10.036720416589473</v>
      </c>
      <c r="R26" s="44">
        <f t="shared" si="9"/>
        <v>8.904513054155526</v>
      </c>
      <c r="S26" s="44">
        <f t="shared" si="9"/>
        <v>7.7723056917215798</v>
      </c>
      <c r="T26" s="44">
        <f t="shared" si="9"/>
        <v>6.6400983292876337</v>
      </c>
      <c r="U26" s="44">
        <f t="shared" si="9"/>
        <v>5.5078909668536866</v>
      </c>
      <c r="V26" s="45"/>
      <c r="W26" s="78">
        <f t="shared" si="10"/>
        <v>4.076658639343548</v>
      </c>
      <c r="X26" s="78">
        <f t="shared" si="10"/>
        <v>4.4899143266319381</v>
      </c>
      <c r="Y26" s="78">
        <f t="shared" si="10"/>
        <v>4.076658639343548</v>
      </c>
      <c r="Z26" s="78">
        <f t="shared" si="10"/>
        <v>3.6634029520551574</v>
      </c>
      <c r="AA26" s="78">
        <f t="shared" si="10"/>
        <v>3.2501472647667669</v>
      </c>
      <c r="AB26" s="78">
        <f t="shared" si="10"/>
        <v>2.8368915774783767</v>
      </c>
      <c r="AC26" s="78">
        <f t="shared" si="10"/>
        <v>2.4236358901899862</v>
      </c>
      <c r="AD26" s="78">
        <f t="shared" si="10"/>
        <v>2.0103802029015956</v>
      </c>
    </row>
    <row r="27" spans="2:30" ht="14.1" customHeight="1" outlineLevel="2" x14ac:dyDescent="0.2">
      <c r="B27" s="41">
        <v>11</v>
      </c>
      <c r="C27" s="37" t="s">
        <v>147</v>
      </c>
      <c r="D27" s="79">
        <f>E27/E$30*100</f>
        <v>68.374969547781504</v>
      </c>
      <c r="E27" s="76">
        <f t="array" ref="E27">SUM(IF(SUSENAS!$AB$11:$AB$256=$B27,SUSENAS!$AQ$11:$AQ$255,0))</f>
        <v>284.99253002052433</v>
      </c>
      <c r="F27" s="44">
        <f t="shared" si="8"/>
        <v>309.17105064169402</v>
      </c>
      <c r="G27" s="44">
        <f t="shared" si="8"/>
        <v>284.99253002052427</v>
      </c>
      <c r="H27" s="44">
        <f t="shared" si="8"/>
        <v>260.81400939935457</v>
      </c>
      <c r="I27" s="44">
        <f t="shared" si="8"/>
        <v>236.63548877818485</v>
      </c>
      <c r="J27" s="44">
        <f t="shared" si="8"/>
        <v>212.45696815701507</v>
      </c>
      <c r="K27" s="44">
        <f t="shared" si="8"/>
        <v>188.27844753584534</v>
      </c>
      <c r="L27" s="44">
        <f t="shared" si="8"/>
        <v>164.09992691467559</v>
      </c>
      <c r="M27" s="79">
        <f>N27/N$30*100</f>
        <v>68.33519677183601</v>
      </c>
      <c r="N27" s="76">
        <f t="array" ref="N27">SUM(IF(SUSENAS!$AB$11:$AB$256=$B27,SUSENAS!$AU$11:$AU$255,0))</f>
        <v>207.85566075193481</v>
      </c>
      <c r="O27" s="44">
        <f t="shared" si="9"/>
        <v>228.92623387077091</v>
      </c>
      <c r="P27" s="44">
        <f t="shared" si="9"/>
        <v>207.85566075193478</v>
      </c>
      <c r="Q27" s="44">
        <f t="shared" si="9"/>
        <v>186.78508763309867</v>
      </c>
      <c r="R27" s="44">
        <f t="shared" si="9"/>
        <v>165.71451451426248</v>
      </c>
      <c r="S27" s="44">
        <f t="shared" si="9"/>
        <v>144.64394139542634</v>
      </c>
      <c r="T27" s="44">
        <f t="shared" si="9"/>
        <v>123.57336827659017</v>
      </c>
      <c r="U27" s="44">
        <f t="shared" si="9"/>
        <v>102.50279515775401</v>
      </c>
      <c r="V27" s="45"/>
      <c r="W27" s="78">
        <f t="shared" si="10"/>
        <v>75.867316174456207</v>
      </c>
      <c r="X27" s="78">
        <f t="shared" si="10"/>
        <v>83.558075362831389</v>
      </c>
      <c r="Y27" s="78">
        <f t="shared" si="10"/>
        <v>75.867316174456192</v>
      </c>
      <c r="Z27" s="78">
        <f t="shared" si="10"/>
        <v>68.176556986081025</v>
      </c>
      <c r="AA27" s="78">
        <f t="shared" si="10"/>
        <v>60.485797797705807</v>
      </c>
      <c r="AB27" s="78">
        <f t="shared" si="10"/>
        <v>52.795038609330618</v>
      </c>
      <c r="AC27" s="78">
        <f t="shared" si="10"/>
        <v>45.104279420955415</v>
      </c>
      <c r="AD27" s="78">
        <f t="shared" si="10"/>
        <v>37.413520232580211</v>
      </c>
    </row>
    <row r="28" spans="2:30" ht="14.1" customHeight="1" outlineLevel="2" x14ac:dyDescent="0.2">
      <c r="B28" s="41">
        <v>12</v>
      </c>
      <c r="C28" s="37" t="s">
        <v>148</v>
      </c>
      <c r="D28" s="79">
        <f>E28/E$30*100</f>
        <v>3.3080551846367587</v>
      </c>
      <c r="E28" s="76">
        <f t="array" ref="E28">SUM(IF(SUSENAS!$AB$11:$AB$256=$B28,SUSENAS!$AQ$11:$AQ$255,0))</f>
        <v>13.788247698718452</v>
      </c>
      <c r="F28" s="44">
        <f t="shared" si="8"/>
        <v>14.958030749836498</v>
      </c>
      <c r="G28" s="44">
        <f t="shared" si="8"/>
        <v>13.78824769871845</v>
      </c>
      <c r="H28" s="44">
        <f t="shared" si="8"/>
        <v>12.618464647600407</v>
      </c>
      <c r="I28" s="44">
        <f t="shared" si="8"/>
        <v>11.448681596482361</v>
      </c>
      <c r="J28" s="44">
        <f t="shared" si="8"/>
        <v>10.278898545364312</v>
      </c>
      <c r="K28" s="44">
        <f t="shared" si="8"/>
        <v>9.1091154942462662</v>
      </c>
      <c r="L28" s="44">
        <f t="shared" si="8"/>
        <v>7.9393324431282215</v>
      </c>
      <c r="M28" s="79">
        <f>N28/N$30*100</f>
        <v>0.81880672516061792</v>
      </c>
      <c r="N28" s="76">
        <f t="array" ref="N28">SUM(IF(SUSENAS!$AB$11:$AB$256=$B28,SUSENAS!$AU$11:$AU$255,0))</f>
        <v>2.4905703199281999</v>
      </c>
      <c r="O28" s="44">
        <f t="shared" si="9"/>
        <v>2.7430423663656547</v>
      </c>
      <c r="P28" s="44">
        <f t="shared" si="9"/>
        <v>2.4905703199281999</v>
      </c>
      <c r="Q28" s="44">
        <f t="shared" si="9"/>
        <v>2.2380982734907455</v>
      </c>
      <c r="R28" s="44">
        <f t="shared" si="9"/>
        <v>1.9856262270532907</v>
      </c>
      <c r="S28" s="44">
        <f t="shared" si="9"/>
        <v>1.7331541806158361</v>
      </c>
      <c r="T28" s="44">
        <f t="shared" si="9"/>
        <v>1.4806821341783816</v>
      </c>
      <c r="U28" s="44">
        <f t="shared" si="9"/>
        <v>1.228210087740927</v>
      </c>
      <c r="V28" s="45"/>
      <c r="W28" s="78">
        <f t="shared" si="10"/>
        <v>0.90905816677379303</v>
      </c>
      <c r="X28" s="78">
        <f t="shared" si="10"/>
        <v>1.001210463723464</v>
      </c>
      <c r="Y28" s="78">
        <f t="shared" si="10"/>
        <v>0.90905816677379303</v>
      </c>
      <c r="Z28" s="78">
        <f t="shared" si="10"/>
        <v>0.81690586982412206</v>
      </c>
      <c r="AA28" s="78">
        <f t="shared" si="10"/>
        <v>0.72475357287445119</v>
      </c>
      <c r="AB28" s="78">
        <f t="shared" si="10"/>
        <v>0.63260127592478022</v>
      </c>
      <c r="AC28" s="78">
        <f t="shared" si="10"/>
        <v>0.54044897897510935</v>
      </c>
      <c r="AD28" s="78">
        <f t="shared" si="10"/>
        <v>0.44829668202543838</v>
      </c>
    </row>
    <row r="29" spans="2:30" ht="14.1" customHeight="1" outlineLevel="2" x14ac:dyDescent="0.2">
      <c r="B29" s="41">
        <v>13</v>
      </c>
      <c r="C29" s="37" t="s">
        <v>383</v>
      </c>
      <c r="D29" s="79">
        <f>E29/E$30*100</f>
        <v>19.633551153581703</v>
      </c>
      <c r="E29" s="76">
        <f t="array" ref="E29">SUM(IF(SUSENAS!$AB$11:$AB$256=$B29,SUSENAS!$AQ$11:$AQ$255,0))</f>
        <v>81.83426557340502</v>
      </c>
      <c r="F29" s="44">
        <f t="shared" si="8"/>
        <v>88.777014134366823</v>
      </c>
      <c r="G29" s="44">
        <f t="shared" si="8"/>
        <v>81.834265573405034</v>
      </c>
      <c r="H29" s="44">
        <f t="shared" si="8"/>
        <v>74.891517012443231</v>
      </c>
      <c r="I29" s="44">
        <f t="shared" si="8"/>
        <v>67.948768451481456</v>
      </c>
      <c r="J29" s="44">
        <f t="shared" si="8"/>
        <v>61.006019890519653</v>
      </c>
      <c r="K29" s="44">
        <f t="shared" si="8"/>
        <v>54.063271329557871</v>
      </c>
      <c r="L29" s="44">
        <f t="shared" si="8"/>
        <v>47.120522768596082</v>
      </c>
      <c r="M29" s="79">
        <f>N29/N$30*100</f>
        <v>26.88089723467003</v>
      </c>
      <c r="N29" s="76">
        <f t="array" ref="N29">SUM(IF(SUSENAS!$AB$11:$AB$256=$B29,SUSENAS!$AU$11:$AU$255,0))</f>
        <v>81.763818943446609</v>
      </c>
      <c r="O29" s="44">
        <f t="shared" si="9"/>
        <v>90.052313561734906</v>
      </c>
      <c r="P29" s="44">
        <f t="shared" si="9"/>
        <v>81.763818943446594</v>
      </c>
      <c r="Q29" s="44">
        <f t="shared" si="9"/>
        <v>73.475324325158283</v>
      </c>
      <c r="R29" s="44">
        <f t="shared" si="9"/>
        <v>65.186829706869972</v>
      </c>
      <c r="S29" s="44">
        <f t="shared" si="9"/>
        <v>56.898335088581668</v>
      </c>
      <c r="T29" s="44">
        <f t="shared" si="9"/>
        <v>48.609840470293356</v>
      </c>
      <c r="U29" s="44">
        <f t="shared" si="9"/>
        <v>40.321345852005045</v>
      </c>
      <c r="V29" s="45"/>
      <c r="W29" s="78">
        <f t="shared" si="10"/>
        <v>29.843793914358013</v>
      </c>
      <c r="X29" s="78">
        <f t="shared" si="10"/>
        <v>32.869094450033238</v>
      </c>
      <c r="Y29" s="78">
        <f t="shared" si="10"/>
        <v>29.84379391435801</v>
      </c>
      <c r="Z29" s="78">
        <f t="shared" si="10"/>
        <v>26.818493378682774</v>
      </c>
      <c r="AA29" s="78">
        <f t="shared" si="10"/>
        <v>23.793192843007539</v>
      </c>
      <c r="AB29" s="78">
        <f t="shared" si="10"/>
        <v>20.767892307332311</v>
      </c>
      <c r="AC29" s="78">
        <f t="shared" si="10"/>
        <v>17.742591771657075</v>
      </c>
      <c r="AD29" s="78">
        <f t="shared" si="10"/>
        <v>14.717291235981842</v>
      </c>
    </row>
    <row r="30" spans="2:30" ht="14.1" customHeight="1" outlineLevel="1" x14ac:dyDescent="0.2">
      <c r="B30" s="49"/>
      <c r="C30" s="49" t="s">
        <v>149</v>
      </c>
      <c r="D30" s="79">
        <f>SUM(D25:D29)</f>
        <v>100</v>
      </c>
      <c r="E30" s="80">
        <f>SUM(E$25:E$29)</f>
        <v>416.80827341556187</v>
      </c>
      <c r="F30" s="44">
        <f>'SASARAN PPH'!E$45</f>
        <v>452.16992809867423</v>
      </c>
      <c r="G30" s="44">
        <f>'SASARAN PPH'!F$45</f>
        <v>416.80827341556187</v>
      </c>
      <c r="H30" s="44">
        <f>'SASARAN PPH'!G$45</f>
        <v>381.44661873244951</v>
      </c>
      <c r="I30" s="44">
        <f>'SASARAN PPH'!H$45</f>
        <v>346.08496404933715</v>
      </c>
      <c r="J30" s="44">
        <f>'SASARAN PPH'!I$45</f>
        <v>310.72330936622473</v>
      </c>
      <c r="K30" s="44">
        <f>'SASARAN PPH'!J$45</f>
        <v>275.36165468311236</v>
      </c>
      <c r="L30" s="44">
        <f>'SASARAN PPH'!K$45</f>
        <v>240</v>
      </c>
      <c r="M30" s="79">
        <f>SUM(M25:M29)</f>
        <v>100</v>
      </c>
      <c r="N30" s="80">
        <f>SUM(N$25:N$29)</f>
        <v>304.17072105015347</v>
      </c>
      <c r="O30" s="44">
        <f>'SASARAN PPH'!E$61</f>
        <v>335.00486526018415</v>
      </c>
      <c r="P30" s="44">
        <f>'SASARAN PPH'!F$61</f>
        <v>304.17072105015347</v>
      </c>
      <c r="Q30" s="44">
        <f>'SASARAN PPH'!G$61</f>
        <v>273.3365768401228</v>
      </c>
      <c r="R30" s="44">
        <f>'SASARAN PPH'!H$61</f>
        <v>242.50243263009207</v>
      </c>
      <c r="S30" s="44">
        <f>'SASARAN PPH'!I$61</f>
        <v>211.6682884200614</v>
      </c>
      <c r="T30" s="44">
        <f>'SASARAN PPH'!J$61</f>
        <v>180.8341442100307</v>
      </c>
      <c r="U30" s="44">
        <f>'SASARAN PPH'!K$61</f>
        <v>150</v>
      </c>
      <c r="V30" s="45"/>
      <c r="W30" s="78">
        <f t="shared" si="10"/>
        <v>111.02231318330601</v>
      </c>
      <c r="X30" s="78">
        <f t="shared" si="10"/>
        <v>122.27677581996721</v>
      </c>
      <c r="Y30" s="78">
        <f t="shared" si="10"/>
        <v>111.02231318330601</v>
      </c>
      <c r="Z30" s="78">
        <f t="shared" si="10"/>
        <v>99.767850546644823</v>
      </c>
      <c r="AA30" s="78">
        <f t="shared" si="10"/>
        <v>88.513387909983607</v>
      </c>
      <c r="AB30" s="78">
        <f t="shared" si="10"/>
        <v>77.258925273322419</v>
      </c>
      <c r="AC30" s="78">
        <f t="shared" si="10"/>
        <v>66.004462636661202</v>
      </c>
      <c r="AD30" s="78">
        <f t="shared" si="10"/>
        <v>54.75</v>
      </c>
    </row>
    <row r="31" spans="2:30" ht="14.1" customHeight="1" outlineLevel="2" x14ac:dyDescent="0.2">
      <c r="B31" s="37"/>
      <c r="C31" s="50" t="s">
        <v>188</v>
      </c>
      <c r="D31" s="81"/>
      <c r="E31" s="82"/>
      <c r="F31" s="51"/>
      <c r="G31" s="52"/>
      <c r="H31" s="52"/>
      <c r="I31" s="52"/>
      <c r="J31" s="52"/>
      <c r="K31" s="52"/>
      <c r="L31" s="53"/>
      <c r="M31" s="81"/>
      <c r="N31" s="82"/>
      <c r="O31" s="51"/>
      <c r="P31" s="52"/>
      <c r="Q31" s="52"/>
      <c r="R31" s="52"/>
      <c r="S31" s="52"/>
      <c r="T31" s="52"/>
      <c r="U31" s="53"/>
      <c r="V31" s="45"/>
      <c r="W31" s="83"/>
      <c r="X31" s="84"/>
      <c r="Y31" s="85"/>
      <c r="Z31" s="85"/>
      <c r="AA31" s="85"/>
      <c r="AB31" s="85"/>
      <c r="AC31" s="85"/>
      <c r="AD31" s="86"/>
    </row>
    <row r="32" spans="2:30" ht="14.1" customHeight="1" outlineLevel="2" x14ac:dyDescent="0.2">
      <c r="B32" s="41">
        <v>14</v>
      </c>
      <c r="C32" s="37" t="s">
        <v>150</v>
      </c>
      <c r="D32" s="79">
        <f>E32/E$35*100</f>
        <v>0.6199642385966655</v>
      </c>
      <c r="E32" s="76">
        <f t="array" ref="E32">SUM(IF(SUSENAS!$AB$11:$AB$256=$B32,SUSENAS!$AQ$11:$AQ$255,0))</f>
        <v>1.9517412643198118</v>
      </c>
      <c r="F32" s="44">
        <f t="shared" ref="F32:L34" si="11">F$35*$D32/100</f>
        <v>2.0941038217451076</v>
      </c>
      <c r="G32" s="44">
        <f t="shared" si="11"/>
        <v>1.9517412643198115</v>
      </c>
      <c r="H32" s="44">
        <f t="shared" si="11"/>
        <v>1.8093787068945153</v>
      </c>
      <c r="I32" s="44">
        <f t="shared" si="11"/>
        <v>1.6670161494692193</v>
      </c>
      <c r="J32" s="44">
        <f t="shared" si="11"/>
        <v>1.524653592043923</v>
      </c>
      <c r="K32" s="44">
        <f t="shared" si="11"/>
        <v>1.382291034618627</v>
      </c>
      <c r="L32" s="44">
        <f t="shared" si="11"/>
        <v>1.239928477193331</v>
      </c>
      <c r="M32" s="79">
        <f>N32/N$35*100</f>
        <v>0.64262098225889797</v>
      </c>
      <c r="N32" s="76">
        <f t="array" ref="N32">SUM(IF(SUSENAS!$AB$11:$AB$256=$B32,SUSENAS!$AU$11:$AU$255,0))</f>
        <v>0.22433807635859909</v>
      </c>
      <c r="O32" s="44">
        <f t="shared" ref="O32:U34" si="12">O$35*$M32/100</f>
        <v>0.24350085233996296</v>
      </c>
      <c r="P32" s="44">
        <f t="shared" si="12"/>
        <v>0.22433807635859906</v>
      </c>
      <c r="Q32" s="44">
        <f t="shared" si="12"/>
        <v>0.20517530037723516</v>
      </c>
      <c r="R32" s="44">
        <f t="shared" si="12"/>
        <v>0.18601252439587129</v>
      </c>
      <c r="S32" s="44">
        <f t="shared" si="12"/>
        <v>0.16684974841450739</v>
      </c>
      <c r="T32" s="44">
        <f t="shared" si="12"/>
        <v>0.14768697243314349</v>
      </c>
      <c r="U32" s="44">
        <f t="shared" si="12"/>
        <v>0.12852419645177959</v>
      </c>
      <c r="V32" s="45"/>
      <c r="W32" s="78">
        <f t="shared" ref="W32:W35" si="13">N32*365/1000</f>
        <v>8.1883397870888677E-2</v>
      </c>
      <c r="X32" s="78">
        <f t="shared" ref="X32:X35" si="14">O32*365/1000</f>
        <v>8.8877811104086477E-2</v>
      </c>
      <c r="Y32" s="78">
        <f t="shared" ref="Y32:Y35" si="15">P32*365/1000</f>
        <v>8.1883397870888663E-2</v>
      </c>
      <c r="Z32" s="78">
        <f t="shared" ref="Z32:Z35" si="16">Q32*365/1000</f>
        <v>7.4888984637690836E-2</v>
      </c>
      <c r="AA32" s="78">
        <f t="shared" ref="AA32:AA35" si="17">R32*365/1000</f>
        <v>6.7894571404493023E-2</v>
      </c>
      <c r="AB32" s="78">
        <f t="shared" ref="AB32:AB35" si="18">S32*365/1000</f>
        <v>6.0900158171295196E-2</v>
      </c>
      <c r="AC32" s="78">
        <f t="shared" ref="AC32:AC35" si="19">T32*365/1000</f>
        <v>5.3905744938097376E-2</v>
      </c>
      <c r="AD32" s="78">
        <f t="shared" ref="AD32:AD35" si="20">U32*365/1000</f>
        <v>4.6911331704899556E-2</v>
      </c>
    </row>
    <row r="33" spans="2:30" ht="14.1" customHeight="1" outlineLevel="2" x14ac:dyDescent="0.2">
      <c r="B33" s="41">
        <v>15</v>
      </c>
      <c r="C33" s="37" t="s">
        <v>385</v>
      </c>
      <c r="D33" s="79">
        <f>E33/E$35*100</f>
        <v>99.380035761403335</v>
      </c>
      <c r="E33" s="76">
        <f t="array" ref="E33">SUM(IF(SUSENAS!$AB$11:$AB$256=$B33,SUSENAS!$AQ$11:$AQ$255,0))</f>
        <v>312.86339528899509</v>
      </c>
      <c r="F33" s="44">
        <f t="shared" si="11"/>
        <v>335.68406004223283</v>
      </c>
      <c r="G33" s="44">
        <f t="shared" si="11"/>
        <v>312.86339528899509</v>
      </c>
      <c r="H33" s="44">
        <f t="shared" si="11"/>
        <v>290.04273053575741</v>
      </c>
      <c r="I33" s="44">
        <f t="shared" si="11"/>
        <v>267.22206578251973</v>
      </c>
      <c r="J33" s="44">
        <f t="shared" si="11"/>
        <v>244.40140102928203</v>
      </c>
      <c r="K33" s="44">
        <f t="shared" si="11"/>
        <v>221.58073627604438</v>
      </c>
      <c r="L33" s="44">
        <f t="shared" si="11"/>
        <v>198.7600715228067</v>
      </c>
      <c r="M33" s="79">
        <f>N33/N$35*100</f>
        <v>99.357379017741096</v>
      </c>
      <c r="N33" s="76">
        <f t="array" ref="N33">SUM(IF(SUSENAS!$AB$11:$AB$256=$B33,SUSENAS!$AU$11:$AU$255,0))</f>
        <v>34.685520542017194</v>
      </c>
      <c r="O33" s="44">
        <f t="shared" si="12"/>
        <v>37.648329489710989</v>
      </c>
      <c r="P33" s="44">
        <f t="shared" si="12"/>
        <v>34.685520542017194</v>
      </c>
      <c r="Q33" s="44">
        <f t="shared" si="12"/>
        <v>31.722711594323396</v>
      </c>
      <c r="R33" s="44">
        <f t="shared" si="12"/>
        <v>28.759902646629602</v>
      </c>
      <c r="S33" s="44">
        <f t="shared" si="12"/>
        <v>25.797093698935811</v>
      </c>
      <c r="T33" s="44">
        <f t="shared" si="12"/>
        <v>22.834284751242013</v>
      </c>
      <c r="U33" s="44">
        <f t="shared" si="12"/>
        <v>19.871475803548218</v>
      </c>
      <c r="V33" s="45"/>
      <c r="W33" s="78">
        <f t="shared" si="13"/>
        <v>12.660214997836276</v>
      </c>
      <c r="X33" s="78">
        <f t="shared" si="14"/>
        <v>13.741640263744511</v>
      </c>
      <c r="Y33" s="78">
        <f t="shared" si="15"/>
        <v>12.660214997836276</v>
      </c>
      <c r="Z33" s="78">
        <f t="shared" si="16"/>
        <v>11.57878973192804</v>
      </c>
      <c r="AA33" s="78">
        <f t="shared" si="17"/>
        <v>10.497364466019805</v>
      </c>
      <c r="AB33" s="78">
        <f t="shared" si="18"/>
        <v>9.4159392001115698</v>
      </c>
      <c r="AC33" s="78">
        <f t="shared" si="19"/>
        <v>8.3345139342033345</v>
      </c>
      <c r="AD33" s="78">
        <f t="shared" si="20"/>
        <v>7.2530886682950992</v>
      </c>
    </row>
    <row r="34" spans="2:30" ht="14.1" customHeight="1" outlineLevel="2" x14ac:dyDescent="0.2">
      <c r="B34" s="41">
        <v>16</v>
      </c>
      <c r="C34" s="37" t="s">
        <v>386</v>
      </c>
      <c r="D34" s="79">
        <f>E34/E$35*100</f>
        <v>0</v>
      </c>
      <c r="E34" s="76">
        <f t="array" ref="E34">SUM(IF(SUSENAS!$AB$11:$AB$256=$B34,SUSENAS!$AQ$11:$AQ$255,0))</f>
        <v>0</v>
      </c>
      <c r="F34" s="44">
        <f t="shared" si="11"/>
        <v>0</v>
      </c>
      <c r="G34" s="44">
        <f t="shared" si="11"/>
        <v>0</v>
      </c>
      <c r="H34" s="44">
        <f t="shared" si="11"/>
        <v>0</v>
      </c>
      <c r="I34" s="44">
        <f t="shared" si="11"/>
        <v>0</v>
      </c>
      <c r="J34" s="44">
        <f t="shared" si="11"/>
        <v>0</v>
      </c>
      <c r="K34" s="44">
        <f t="shared" si="11"/>
        <v>0</v>
      </c>
      <c r="L34" s="44">
        <f t="shared" si="11"/>
        <v>0</v>
      </c>
      <c r="M34" s="79">
        <f>N34/N$35*100</f>
        <v>0</v>
      </c>
      <c r="N34" s="76">
        <f t="array" ref="N34">SUM(IF(SUSENAS!$AB$11:$AB$256=$B34,SUSENAS!$AU$11:$AU$255,0))</f>
        <v>0</v>
      </c>
      <c r="O34" s="44">
        <f t="shared" si="12"/>
        <v>0</v>
      </c>
      <c r="P34" s="44">
        <f t="shared" si="12"/>
        <v>0</v>
      </c>
      <c r="Q34" s="44">
        <f t="shared" si="12"/>
        <v>0</v>
      </c>
      <c r="R34" s="44">
        <f t="shared" si="12"/>
        <v>0</v>
      </c>
      <c r="S34" s="44">
        <f t="shared" si="12"/>
        <v>0</v>
      </c>
      <c r="T34" s="44">
        <f t="shared" si="12"/>
        <v>0</v>
      </c>
      <c r="U34" s="44">
        <f t="shared" si="12"/>
        <v>0</v>
      </c>
      <c r="V34" s="45"/>
      <c r="W34" s="78">
        <f t="shared" si="13"/>
        <v>0</v>
      </c>
      <c r="X34" s="78">
        <f t="shared" si="14"/>
        <v>0</v>
      </c>
      <c r="Y34" s="78">
        <f t="shared" si="15"/>
        <v>0</v>
      </c>
      <c r="Z34" s="78">
        <f t="shared" si="16"/>
        <v>0</v>
      </c>
      <c r="AA34" s="78">
        <f t="shared" si="17"/>
        <v>0</v>
      </c>
      <c r="AB34" s="78">
        <f t="shared" si="18"/>
        <v>0</v>
      </c>
      <c r="AC34" s="78">
        <f t="shared" si="19"/>
        <v>0</v>
      </c>
      <c r="AD34" s="78">
        <f t="shared" si="20"/>
        <v>0</v>
      </c>
    </row>
    <row r="35" spans="2:30" ht="14.1" customHeight="1" outlineLevel="1" x14ac:dyDescent="0.2">
      <c r="B35" s="49"/>
      <c r="C35" s="49" t="s">
        <v>151</v>
      </c>
      <c r="D35" s="79">
        <f>SUM(D32:D33)</f>
        <v>100</v>
      </c>
      <c r="E35" s="80">
        <f>SUM(E$32:E$34)</f>
        <v>314.81513655331491</v>
      </c>
      <c r="F35" s="44">
        <f>'SASARAN PPH'!E$46</f>
        <v>337.77816386397791</v>
      </c>
      <c r="G35" s="44">
        <f>'SASARAN PPH'!F$46</f>
        <v>314.81513655331491</v>
      </c>
      <c r="H35" s="44">
        <f>'SASARAN PPH'!G$46</f>
        <v>291.85210924265192</v>
      </c>
      <c r="I35" s="44">
        <f>'SASARAN PPH'!H$46</f>
        <v>268.88908193198893</v>
      </c>
      <c r="J35" s="44">
        <f>'SASARAN PPH'!I$46</f>
        <v>245.92605462132596</v>
      </c>
      <c r="K35" s="44">
        <f>'SASARAN PPH'!J$46</f>
        <v>222.96302731066299</v>
      </c>
      <c r="L35" s="44">
        <f>'SASARAN PPH'!K$46</f>
        <v>200</v>
      </c>
      <c r="M35" s="79">
        <f>SUM(M32:M33)</f>
        <v>100</v>
      </c>
      <c r="N35" s="80">
        <f>SUM(N$32:N$34)</f>
        <v>34.909858618375793</v>
      </c>
      <c r="O35" s="44">
        <f>'SASARAN PPH'!E$62</f>
        <v>37.891830342050952</v>
      </c>
      <c r="P35" s="44">
        <f>'SASARAN PPH'!F$62</f>
        <v>34.909858618375793</v>
      </c>
      <c r="Q35" s="44">
        <f>'SASARAN PPH'!G$62</f>
        <v>31.927886894700634</v>
      </c>
      <c r="R35" s="44">
        <f>'SASARAN PPH'!H$62</f>
        <v>28.945915171025476</v>
      </c>
      <c r="S35" s="44">
        <f>'SASARAN PPH'!I$62</f>
        <v>25.963943447350317</v>
      </c>
      <c r="T35" s="44">
        <f>'SASARAN PPH'!J$62</f>
        <v>22.981971723675159</v>
      </c>
      <c r="U35" s="44">
        <f>'SASARAN PPH'!K$62</f>
        <v>20</v>
      </c>
      <c r="V35" s="45"/>
      <c r="W35" s="78">
        <f t="shared" si="13"/>
        <v>12.742098395707163</v>
      </c>
      <c r="X35" s="78">
        <f t="shared" si="14"/>
        <v>13.830518074848598</v>
      </c>
      <c r="Y35" s="78">
        <f t="shared" si="15"/>
        <v>12.742098395707163</v>
      </c>
      <c r="Z35" s="78">
        <f t="shared" si="16"/>
        <v>11.653678716565732</v>
      </c>
      <c r="AA35" s="78">
        <f t="shared" si="17"/>
        <v>10.565259037424299</v>
      </c>
      <c r="AB35" s="78">
        <f t="shared" si="18"/>
        <v>9.4768393582828665</v>
      </c>
      <c r="AC35" s="78">
        <f t="shared" si="19"/>
        <v>8.3884196791414318</v>
      </c>
      <c r="AD35" s="78">
        <f t="shared" si="20"/>
        <v>7.3</v>
      </c>
    </row>
    <row r="36" spans="2:30" ht="14.1" customHeight="1" outlineLevel="2" x14ac:dyDescent="0.2">
      <c r="B36" s="37"/>
      <c r="C36" s="50" t="s">
        <v>190</v>
      </c>
      <c r="D36" s="81"/>
      <c r="E36" s="82"/>
      <c r="F36" s="51"/>
      <c r="G36" s="52"/>
      <c r="H36" s="52"/>
      <c r="I36" s="52"/>
      <c r="J36" s="52"/>
      <c r="K36" s="52"/>
      <c r="L36" s="53"/>
      <c r="M36" s="81"/>
      <c r="N36" s="82"/>
      <c r="O36" s="51"/>
      <c r="P36" s="52"/>
      <c r="Q36" s="52"/>
      <c r="R36" s="52"/>
      <c r="S36" s="52"/>
      <c r="T36" s="52"/>
      <c r="U36" s="53"/>
      <c r="V36" s="45"/>
      <c r="W36" s="83"/>
      <c r="X36" s="84"/>
      <c r="Y36" s="85"/>
      <c r="Z36" s="85"/>
      <c r="AA36" s="85"/>
      <c r="AB36" s="85"/>
      <c r="AC36" s="85"/>
      <c r="AD36" s="86"/>
    </row>
    <row r="37" spans="2:30" ht="14.1" customHeight="1" outlineLevel="2" x14ac:dyDescent="0.2">
      <c r="B37" s="41">
        <v>17</v>
      </c>
      <c r="C37" s="37" t="s">
        <v>152</v>
      </c>
      <c r="D37" s="79">
        <f>E37/E$39*100</f>
        <v>87.074277861991206</v>
      </c>
      <c r="E37" s="76">
        <f t="array" ref="E37">SUM(IF(SUSENAS!$AB$11:$AB$256=$B37,SUSENAS!$AQ$11:$AQ$255,0))</f>
        <v>153.29532556476221</v>
      </c>
      <c r="F37" s="44">
        <f t="shared" ref="F37:L38" si="21">F$39*$D37/100</f>
        <v>173.50547733427572</v>
      </c>
      <c r="G37" s="44">
        <f t="shared" si="21"/>
        <v>153.29532556476221</v>
      </c>
      <c r="H37" s="44">
        <f t="shared" si="21"/>
        <v>133.08517379524869</v>
      </c>
      <c r="I37" s="44">
        <f t="shared" si="21"/>
        <v>112.87502202573522</v>
      </c>
      <c r="J37" s="44">
        <f t="shared" si="21"/>
        <v>92.664870256221718</v>
      </c>
      <c r="K37" s="44">
        <f t="shared" si="21"/>
        <v>72.454718486708217</v>
      </c>
      <c r="L37" s="44">
        <f t="shared" si="21"/>
        <v>52.244566717194722</v>
      </c>
      <c r="M37" s="79">
        <f>N37/N$39*100</f>
        <v>88.913841655173485</v>
      </c>
      <c r="N37" s="76">
        <f t="array" ref="N37">SUM(IF(SUSENAS!$AB$11:$AB$256=$B37,SUSENAS!$AU$11:$AU$255,0))</f>
        <v>28.696242149899327</v>
      </c>
      <c r="O37" s="44">
        <f t="shared" ref="O37:U38" si="22">O$39*$M37/100</f>
        <v>32.657213746775717</v>
      </c>
      <c r="P37" s="44">
        <f t="shared" si="22"/>
        <v>28.696242149899327</v>
      </c>
      <c r="Q37" s="44">
        <f t="shared" si="22"/>
        <v>24.735270553022929</v>
      </c>
      <c r="R37" s="44">
        <f t="shared" si="22"/>
        <v>20.774298956146534</v>
      </c>
      <c r="S37" s="44">
        <f t="shared" si="22"/>
        <v>16.813327359270136</v>
      </c>
      <c r="T37" s="44">
        <f t="shared" si="22"/>
        <v>12.852355762393746</v>
      </c>
      <c r="U37" s="44">
        <f t="shared" si="22"/>
        <v>8.8913841655173478</v>
      </c>
      <c r="V37" s="45"/>
      <c r="W37" s="78">
        <f t="shared" ref="W37:W39" si="23">N37*365/1000</f>
        <v>10.474128384713255</v>
      </c>
      <c r="X37" s="78">
        <f t="shared" ref="X37:X39" si="24">O37*365/1000</f>
        <v>11.919883017573136</v>
      </c>
      <c r="Y37" s="78">
        <f t="shared" ref="Y37:Y39" si="25">P37*365/1000</f>
        <v>10.474128384713255</v>
      </c>
      <c r="Z37" s="78">
        <f t="shared" ref="Z37:Z39" si="26">Q37*365/1000</f>
        <v>9.0283737518533691</v>
      </c>
      <c r="AA37" s="78">
        <f t="shared" ref="AA37:AA39" si="27">R37*365/1000</f>
        <v>7.5826191189934855</v>
      </c>
      <c r="AB37" s="78">
        <f t="shared" ref="AB37:AB39" si="28">S37*365/1000</f>
        <v>6.1368644861336001</v>
      </c>
      <c r="AC37" s="78">
        <f t="shared" ref="AC37:AC39" si="29">T37*365/1000</f>
        <v>4.6911098532737165</v>
      </c>
      <c r="AD37" s="78">
        <f t="shared" ref="AD37:AD39" si="30">U37*365/1000</f>
        <v>3.2453552204138316</v>
      </c>
    </row>
    <row r="38" spans="2:30" ht="14.1" customHeight="1" outlineLevel="2" x14ac:dyDescent="0.2">
      <c r="B38" s="41">
        <v>18</v>
      </c>
      <c r="C38" s="37" t="s">
        <v>153</v>
      </c>
      <c r="D38" s="79">
        <f>E38/E$39*100</f>
        <v>12.925722138008783</v>
      </c>
      <c r="E38" s="76">
        <f t="array" ref="E38">SUM(IF(SUSENAS!$AB$11:$AB$256=$B38,SUSENAS!$AQ$11:$AQ$255,0))</f>
        <v>22.755891084692355</v>
      </c>
      <c r="F38" s="44">
        <f t="shared" si="21"/>
        <v>25.755982645069771</v>
      </c>
      <c r="G38" s="44">
        <f t="shared" si="21"/>
        <v>22.755891084692358</v>
      </c>
      <c r="H38" s="44">
        <f t="shared" si="21"/>
        <v>19.755799524314938</v>
      </c>
      <c r="I38" s="44">
        <f t="shared" si="21"/>
        <v>16.755707963937521</v>
      </c>
      <c r="J38" s="44">
        <f t="shared" si="21"/>
        <v>13.755616403560104</v>
      </c>
      <c r="K38" s="44">
        <f t="shared" si="21"/>
        <v>10.755524843182686</v>
      </c>
      <c r="L38" s="44">
        <f t="shared" si="21"/>
        <v>7.7554332828052699</v>
      </c>
      <c r="M38" s="79">
        <f>N38/N$39*100</f>
        <v>11.086158344826519</v>
      </c>
      <c r="N38" s="76">
        <f t="array" ref="N38">SUM(IF(SUSENAS!$AB$11:$AB$256=$B38,SUSENAS!$AU$11:$AU$255,0))</f>
        <v>3.577970296335276</v>
      </c>
      <c r="O38" s="44">
        <f t="shared" si="22"/>
        <v>4.0718411887058013</v>
      </c>
      <c r="P38" s="44">
        <f t="shared" si="22"/>
        <v>3.577970296335276</v>
      </c>
      <c r="Q38" s="44">
        <f t="shared" si="22"/>
        <v>3.0840994039647511</v>
      </c>
      <c r="R38" s="44">
        <f t="shared" si="22"/>
        <v>2.5902285115942267</v>
      </c>
      <c r="S38" s="44">
        <f t="shared" si="22"/>
        <v>2.0963576192237015</v>
      </c>
      <c r="T38" s="44">
        <f t="shared" si="22"/>
        <v>1.6024867268531766</v>
      </c>
      <c r="U38" s="44">
        <f t="shared" si="22"/>
        <v>1.1086158344826518</v>
      </c>
      <c r="V38" s="45"/>
      <c r="W38" s="78">
        <f t="shared" si="23"/>
        <v>1.3059591581623755</v>
      </c>
      <c r="X38" s="78">
        <f t="shared" si="24"/>
        <v>1.4862220338776173</v>
      </c>
      <c r="Y38" s="78">
        <f t="shared" si="25"/>
        <v>1.3059591581623755</v>
      </c>
      <c r="Z38" s="78">
        <f t="shared" si="26"/>
        <v>1.1256962824471342</v>
      </c>
      <c r="AA38" s="78">
        <f t="shared" si="27"/>
        <v>0.9454334067318928</v>
      </c>
      <c r="AB38" s="78">
        <f t="shared" si="28"/>
        <v>0.765170531016651</v>
      </c>
      <c r="AC38" s="78">
        <f t="shared" si="29"/>
        <v>0.58490765530140942</v>
      </c>
      <c r="AD38" s="78">
        <f t="shared" si="30"/>
        <v>0.4046447795861679</v>
      </c>
    </row>
    <row r="39" spans="2:30" ht="14.1" customHeight="1" outlineLevel="1" x14ac:dyDescent="0.2">
      <c r="B39" s="49"/>
      <c r="C39" s="49" t="s">
        <v>154</v>
      </c>
      <c r="D39" s="44">
        <f>'SASARAN PPH'!B$47</f>
        <v>5</v>
      </c>
      <c r="E39" s="80">
        <f>SUM(E$37:E$38)</f>
        <v>176.05121664945457</v>
      </c>
      <c r="F39" s="44">
        <f>'SASARAN PPH'!E$47</f>
        <v>199.26145997934549</v>
      </c>
      <c r="G39" s="44">
        <f>'SASARAN PPH'!F$47</f>
        <v>176.05121664945457</v>
      </c>
      <c r="H39" s="44">
        <f>'SASARAN PPH'!G$47</f>
        <v>152.84097331956366</v>
      </c>
      <c r="I39" s="44">
        <f>'SASARAN PPH'!H$47</f>
        <v>129.63072998967274</v>
      </c>
      <c r="J39" s="44">
        <f>'SASARAN PPH'!I$47</f>
        <v>106.42048665978183</v>
      </c>
      <c r="K39" s="44">
        <f>'SASARAN PPH'!J$47</f>
        <v>83.210243329890915</v>
      </c>
      <c r="L39" s="44">
        <f>'SASARAN PPH'!K$47</f>
        <v>60</v>
      </c>
      <c r="M39" s="44">
        <f>'SASARAN PPH'!K$47</f>
        <v>60</v>
      </c>
      <c r="N39" s="80">
        <f>SUM(N$37:N$38)</f>
        <v>32.2742124462346</v>
      </c>
      <c r="O39" s="44">
        <f>'SASARAN PPH'!E$63</f>
        <v>36.729054935481521</v>
      </c>
      <c r="P39" s="44">
        <f>'SASARAN PPH'!F$63</f>
        <v>32.2742124462346</v>
      </c>
      <c r="Q39" s="44">
        <f>'SASARAN PPH'!G$63</f>
        <v>27.819369956987678</v>
      </c>
      <c r="R39" s="44">
        <f>'SASARAN PPH'!H$63</f>
        <v>23.364527467740761</v>
      </c>
      <c r="S39" s="44">
        <f>'SASARAN PPH'!I$63</f>
        <v>18.909684978493839</v>
      </c>
      <c r="T39" s="44">
        <f>'SASARAN PPH'!J$63</f>
        <v>14.454842489246921</v>
      </c>
      <c r="U39" s="44">
        <f>'SASARAN PPH'!K$63</f>
        <v>10</v>
      </c>
      <c r="V39" s="45"/>
      <c r="W39" s="78">
        <f t="shared" si="23"/>
        <v>11.780087542875629</v>
      </c>
      <c r="X39" s="78">
        <f t="shared" si="24"/>
        <v>13.406105051450755</v>
      </c>
      <c r="Y39" s="78">
        <f t="shared" si="25"/>
        <v>11.780087542875629</v>
      </c>
      <c r="Z39" s="78">
        <f t="shared" si="26"/>
        <v>10.154070034300503</v>
      </c>
      <c r="AA39" s="78">
        <f t="shared" si="27"/>
        <v>8.5280525257253768</v>
      </c>
      <c r="AB39" s="78">
        <f t="shared" si="28"/>
        <v>6.9020350171502516</v>
      </c>
      <c r="AC39" s="78">
        <f t="shared" si="29"/>
        <v>5.2760175085751264</v>
      </c>
      <c r="AD39" s="78">
        <f t="shared" si="30"/>
        <v>3.65</v>
      </c>
    </row>
    <row r="40" spans="2:30" ht="14.1" customHeight="1" outlineLevel="2" x14ac:dyDescent="0.2">
      <c r="B40" s="37"/>
      <c r="C40" s="50" t="s">
        <v>191</v>
      </c>
      <c r="D40" s="81"/>
      <c r="E40" s="82"/>
      <c r="F40" s="51"/>
      <c r="G40" s="52"/>
      <c r="H40" s="52"/>
      <c r="I40" s="52"/>
      <c r="J40" s="52"/>
      <c r="K40" s="52"/>
      <c r="L40" s="53"/>
      <c r="M40" s="81"/>
      <c r="N40" s="82"/>
      <c r="O40" s="51"/>
      <c r="P40" s="52"/>
      <c r="Q40" s="52"/>
      <c r="R40" s="52"/>
      <c r="S40" s="52"/>
      <c r="T40" s="52"/>
      <c r="U40" s="53"/>
      <c r="V40" s="45"/>
      <c r="W40" s="83"/>
      <c r="X40" s="84"/>
      <c r="Y40" s="85"/>
      <c r="Z40" s="85"/>
      <c r="AA40" s="85"/>
      <c r="AB40" s="85"/>
      <c r="AC40" s="85"/>
      <c r="AD40" s="86"/>
    </row>
    <row r="41" spans="2:30" ht="14.1" customHeight="1" outlineLevel="2" x14ac:dyDescent="0.2">
      <c r="B41" s="41">
        <v>19</v>
      </c>
      <c r="C41" s="37" t="s">
        <v>156</v>
      </c>
      <c r="D41" s="79">
        <f>E41/E$45*100</f>
        <v>92.860124872542883</v>
      </c>
      <c r="E41" s="76">
        <f t="array" ref="E41">SUM(IF(SUSENAS!$AB$11:$AB$256=$B41,SUSENAS!$AQ$11:$AQ$255,0))</f>
        <v>27.669432074868723</v>
      </c>
      <c r="F41" s="44">
        <f t="shared" ref="F41:L41" si="31">F45*$D41/100</f>
        <v>14.631293515333891</v>
      </c>
      <c r="G41" s="44">
        <f t="shared" si="31"/>
        <v>27.669432074868723</v>
      </c>
      <c r="H41" s="44">
        <f t="shared" si="31"/>
        <v>40.707570634403559</v>
      </c>
      <c r="I41" s="44">
        <f t="shared" si="31"/>
        <v>53.745709193938389</v>
      </c>
      <c r="J41" s="44">
        <f t="shared" si="31"/>
        <v>66.783847753473225</v>
      </c>
      <c r="K41" s="44">
        <f t="shared" si="31"/>
        <v>79.821986313008054</v>
      </c>
      <c r="L41" s="44">
        <f t="shared" si="31"/>
        <v>92.860124872542869</v>
      </c>
      <c r="M41" s="79">
        <f>N41/N$45*100</f>
        <v>96.210446359801693</v>
      </c>
      <c r="N41" s="76">
        <f t="array" ref="N41">SUM(IF(SUSENAS!$AB$11:$AB$256=$B41,SUSENAS!$AU$11:$AU$255,0))</f>
        <v>11.949709126347409</v>
      </c>
      <c r="O41" s="44">
        <f t="shared" ref="O41:U41" si="32">O45*$M41/100</f>
        <v>7.6049197064307741</v>
      </c>
      <c r="P41" s="44">
        <f t="shared" si="32"/>
        <v>11.949709126347409</v>
      </c>
      <c r="Q41" s="44">
        <f t="shared" si="32"/>
        <v>16.294498546264048</v>
      </c>
      <c r="R41" s="44">
        <f t="shared" si="32"/>
        <v>20.639287966180682</v>
      </c>
      <c r="S41" s="44">
        <f t="shared" si="32"/>
        <v>24.984077386097319</v>
      </c>
      <c r="T41" s="44">
        <f t="shared" si="32"/>
        <v>29.328866806013952</v>
      </c>
      <c r="U41" s="44">
        <f t="shared" si="32"/>
        <v>33.673656225930593</v>
      </c>
      <c r="V41" s="45"/>
      <c r="W41" s="78">
        <f t="shared" ref="W41:W45" si="33">N41*365/1000</f>
        <v>4.3616438311168038</v>
      </c>
      <c r="X41" s="78">
        <f t="shared" ref="X41:X45" si="34">O41*365/1000</f>
        <v>2.7757956928472325</v>
      </c>
      <c r="Y41" s="78">
        <f t="shared" ref="Y41:Y45" si="35">P41*365/1000</f>
        <v>4.3616438311168038</v>
      </c>
      <c r="Z41" s="78">
        <f t="shared" ref="Z41:Z45" si="36">Q41*365/1000</f>
        <v>5.9474919693863777</v>
      </c>
      <c r="AA41" s="78">
        <f t="shared" ref="AA41:AA45" si="37">R41*365/1000</f>
        <v>7.5333401076559481</v>
      </c>
      <c r="AB41" s="78">
        <f t="shared" ref="AB41:AB45" si="38">S41*365/1000</f>
        <v>9.1191882459255211</v>
      </c>
      <c r="AC41" s="78">
        <f t="shared" ref="AC41:AC45" si="39">T41*365/1000</f>
        <v>10.705036384195093</v>
      </c>
      <c r="AD41" s="78">
        <f t="shared" ref="AD41:AD45" si="40">U41*365/1000</f>
        <v>12.290884522464667</v>
      </c>
    </row>
    <row r="42" spans="2:30" ht="14.1" customHeight="1" outlineLevel="2" x14ac:dyDescent="0.2">
      <c r="B42" s="41">
        <v>20</v>
      </c>
      <c r="C42" s="37" t="s">
        <v>155</v>
      </c>
      <c r="D42" s="79">
        <f>E42/E$45*100</f>
        <v>7.1398751274571266</v>
      </c>
      <c r="E42" s="76">
        <f t="array" ref="E42">SUM(IF(SUSENAS!$AB$11:$AB$256=$B42,SUSENAS!$AQ$11:$AQ$255,0))</f>
        <v>2.1274609541326774</v>
      </c>
      <c r="F42" s="44">
        <f t="shared" ref="F42:L42" si="41">F45*$D42/100</f>
        <v>1.1249781194677875</v>
      </c>
      <c r="G42" s="44">
        <f t="shared" si="41"/>
        <v>2.1274609541326774</v>
      </c>
      <c r="H42" s="44">
        <f t="shared" si="41"/>
        <v>3.1299437887975672</v>
      </c>
      <c r="I42" s="44">
        <f t="shared" si="41"/>
        <v>4.1324266234624574</v>
      </c>
      <c r="J42" s="44">
        <f t="shared" si="41"/>
        <v>5.1349094581273471</v>
      </c>
      <c r="K42" s="44">
        <f t="shared" si="41"/>
        <v>6.1373922927922369</v>
      </c>
      <c r="L42" s="44">
        <f t="shared" si="41"/>
        <v>7.1398751274571275</v>
      </c>
      <c r="M42" s="79">
        <f>N42/N$45*100</f>
        <v>3.7895536401983052</v>
      </c>
      <c r="N42" s="76">
        <f t="array" ref="N42">SUM(IF(SUSENAS!$AB$11:$AB$256=$B42,SUSENAS!$AU$11:$AU$255,0))</f>
        <v>0.47067720224174286</v>
      </c>
      <c r="O42" s="44">
        <f t="shared" ref="O42:U42" si="42">O45*$M42/100</f>
        <v>0.29954388787621011</v>
      </c>
      <c r="P42" s="44">
        <f t="shared" si="42"/>
        <v>0.47067720224174286</v>
      </c>
      <c r="Q42" s="44">
        <f t="shared" si="42"/>
        <v>0.64181051660727573</v>
      </c>
      <c r="R42" s="44">
        <f t="shared" si="42"/>
        <v>0.81294383097280842</v>
      </c>
      <c r="S42" s="44">
        <f t="shared" si="42"/>
        <v>0.98407714533834123</v>
      </c>
      <c r="T42" s="44">
        <f t="shared" si="42"/>
        <v>1.1552104597038739</v>
      </c>
      <c r="U42" s="44">
        <f t="shared" si="42"/>
        <v>1.3263437740694066</v>
      </c>
      <c r="V42" s="45"/>
      <c r="W42" s="78">
        <f t="shared" si="33"/>
        <v>0.17179717881823614</v>
      </c>
      <c r="X42" s="78">
        <f t="shared" si="34"/>
        <v>0.1093335190748167</v>
      </c>
      <c r="Y42" s="78">
        <f t="shared" si="35"/>
        <v>0.17179717881823614</v>
      </c>
      <c r="Z42" s="78">
        <f t="shared" si="36"/>
        <v>0.23426083856165564</v>
      </c>
      <c r="AA42" s="78">
        <f t="shared" si="37"/>
        <v>0.29672449830507508</v>
      </c>
      <c r="AB42" s="78">
        <f t="shared" si="38"/>
        <v>0.35918815804849452</v>
      </c>
      <c r="AC42" s="78">
        <f t="shared" si="39"/>
        <v>0.42165181779191396</v>
      </c>
      <c r="AD42" s="78">
        <f t="shared" si="40"/>
        <v>0.4841154775353334</v>
      </c>
    </row>
    <row r="43" spans="2:30" ht="14.1" customHeight="1" outlineLevel="2" x14ac:dyDescent="0.2">
      <c r="B43" s="41">
        <v>21</v>
      </c>
      <c r="C43" s="37" t="s">
        <v>157</v>
      </c>
      <c r="D43" s="79">
        <f>E43/E$45*100</f>
        <v>0</v>
      </c>
      <c r="E43" s="76">
        <f t="array" ref="E43">SUM(IF(SUSENAS!$AB$11:$AB$256=$B43,SUSENAS!$AQ$11:$AQ$255,0))</f>
        <v>0</v>
      </c>
      <c r="F43" s="44">
        <f t="shared" ref="F43:L44" si="43">F45*$D43/100</f>
        <v>0</v>
      </c>
      <c r="G43" s="44">
        <f t="shared" si="43"/>
        <v>0</v>
      </c>
      <c r="H43" s="44">
        <f t="shared" si="43"/>
        <v>0</v>
      </c>
      <c r="I43" s="44">
        <f t="shared" si="43"/>
        <v>0</v>
      </c>
      <c r="J43" s="44">
        <f t="shared" si="43"/>
        <v>0</v>
      </c>
      <c r="K43" s="44">
        <f t="shared" si="43"/>
        <v>0</v>
      </c>
      <c r="L43" s="44">
        <f t="shared" si="43"/>
        <v>0</v>
      </c>
      <c r="M43" s="79">
        <f>N43/N$45*100</f>
        <v>0</v>
      </c>
      <c r="N43" s="76">
        <f t="array" ref="N43">SUM(IF(SUSENAS!$AB$11:$AB$256=$B43,SUSENAS!$AU$11:$AU$255,0))</f>
        <v>0</v>
      </c>
      <c r="O43" s="44">
        <f t="shared" ref="O43:U44" si="44">O45*$M43/100</f>
        <v>0</v>
      </c>
      <c r="P43" s="44">
        <f t="shared" si="44"/>
        <v>0</v>
      </c>
      <c r="Q43" s="44">
        <f t="shared" si="44"/>
        <v>0</v>
      </c>
      <c r="R43" s="44">
        <f t="shared" si="44"/>
        <v>0</v>
      </c>
      <c r="S43" s="44">
        <f t="shared" si="44"/>
        <v>0</v>
      </c>
      <c r="T43" s="44">
        <f t="shared" si="44"/>
        <v>0</v>
      </c>
      <c r="U43" s="44">
        <f t="shared" si="44"/>
        <v>0</v>
      </c>
      <c r="V43" s="45"/>
      <c r="W43" s="78">
        <f t="shared" si="33"/>
        <v>0</v>
      </c>
      <c r="X43" s="78">
        <f t="shared" si="34"/>
        <v>0</v>
      </c>
      <c r="Y43" s="78">
        <f t="shared" si="35"/>
        <v>0</v>
      </c>
      <c r="Z43" s="78">
        <f t="shared" si="36"/>
        <v>0</v>
      </c>
      <c r="AA43" s="78">
        <f t="shared" si="37"/>
        <v>0</v>
      </c>
      <c r="AB43" s="78">
        <f t="shared" si="38"/>
        <v>0</v>
      </c>
      <c r="AC43" s="78">
        <f t="shared" si="39"/>
        <v>0</v>
      </c>
      <c r="AD43" s="78">
        <f t="shared" si="40"/>
        <v>0</v>
      </c>
    </row>
    <row r="44" spans="2:30" ht="14.1" customHeight="1" outlineLevel="2" x14ac:dyDescent="0.2">
      <c r="B44" s="41">
        <v>22</v>
      </c>
      <c r="C44" s="37" t="s">
        <v>158</v>
      </c>
      <c r="D44" s="79">
        <f>E44/E$45*100</f>
        <v>0</v>
      </c>
      <c r="E44" s="76">
        <f t="array" ref="E44">SUM(IF(SUSENAS!$AB$11:$AB$256=$B44,SUSENAS!$AQ$11:$AQ$255,0))</f>
        <v>0</v>
      </c>
      <c r="F44" s="44">
        <f t="shared" si="43"/>
        <v>0</v>
      </c>
      <c r="G44" s="44">
        <f t="shared" si="43"/>
        <v>0</v>
      </c>
      <c r="H44" s="44">
        <f t="shared" si="43"/>
        <v>0</v>
      </c>
      <c r="I44" s="44">
        <f t="shared" si="43"/>
        <v>0</v>
      </c>
      <c r="J44" s="44">
        <f t="shared" si="43"/>
        <v>0</v>
      </c>
      <c r="K44" s="44">
        <f t="shared" si="43"/>
        <v>0</v>
      </c>
      <c r="L44" s="44">
        <f t="shared" si="43"/>
        <v>0</v>
      </c>
      <c r="M44" s="79">
        <f>N44/N$45*100</f>
        <v>0</v>
      </c>
      <c r="N44" s="76">
        <f t="array" ref="N44">SUM(IF(SUSENAS!$AB$11:$AB$256=$B44,SUSENAS!$AU$11:$AU$255,0))</f>
        <v>0</v>
      </c>
      <c r="O44" s="44">
        <f t="shared" si="44"/>
        <v>0</v>
      </c>
      <c r="P44" s="44">
        <f t="shared" si="44"/>
        <v>0</v>
      </c>
      <c r="Q44" s="44">
        <f t="shared" si="44"/>
        <v>0</v>
      </c>
      <c r="R44" s="44">
        <f t="shared" si="44"/>
        <v>0</v>
      </c>
      <c r="S44" s="44">
        <f t="shared" si="44"/>
        <v>0</v>
      </c>
      <c r="T44" s="44">
        <f t="shared" si="44"/>
        <v>0</v>
      </c>
      <c r="U44" s="44">
        <f t="shared" si="44"/>
        <v>0</v>
      </c>
      <c r="V44" s="45"/>
      <c r="W44" s="78">
        <f t="shared" si="33"/>
        <v>0</v>
      </c>
      <c r="X44" s="78">
        <f t="shared" si="34"/>
        <v>0</v>
      </c>
      <c r="Y44" s="78">
        <f t="shared" si="35"/>
        <v>0</v>
      </c>
      <c r="Z44" s="78">
        <f t="shared" si="36"/>
        <v>0</v>
      </c>
      <c r="AA44" s="78">
        <f t="shared" si="37"/>
        <v>0</v>
      </c>
      <c r="AB44" s="78">
        <f t="shared" si="38"/>
        <v>0</v>
      </c>
      <c r="AC44" s="78">
        <f t="shared" si="39"/>
        <v>0</v>
      </c>
      <c r="AD44" s="78">
        <f t="shared" si="40"/>
        <v>0</v>
      </c>
    </row>
    <row r="45" spans="2:30" ht="14.1" customHeight="1" outlineLevel="1" x14ac:dyDescent="0.2">
      <c r="B45" s="49"/>
      <c r="C45" s="49" t="s">
        <v>159</v>
      </c>
      <c r="D45" s="79">
        <f>SUM(D41:D43)</f>
        <v>100.00000000000001</v>
      </c>
      <c r="E45" s="80">
        <f>SUM(E$41:E$44)</f>
        <v>29.796893029001399</v>
      </c>
      <c r="F45" s="44">
        <f>'SASARAN PPH'!E$48</f>
        <v>15.756271634801678</v>
      </c>
      <c r="G45" s="44">
        <f>'SASARAN PPH'!F$48</f>
        <v>29.796893029001399</v>
      </c>
      <c r="H45" s="44">
        <f>'SASARAN PPH'!G$48</f>
        <v>43.837514423201121</v>
      </c>
      <c r="I45" s="44">
        <f>'SASARAN PPH'!H$48</f>
        <v>57.878135817400846</v>
      </c>
      <c r="J45" s="44">
        <f>'SASARAN PPH'!I$48</f>
        <v>71.918757211600564</v>
      </c>
      <c r="K45" s="44">
        <f>'SASARAN PPH'!J$48</f>
        <v>85.959378605800282</v>
      </c>
      <c r="L45" s="44">
        <f>'SASARAN PPH'!K$48</f>
        <v>100</v>
      </c>
      <c r="M45" s="79">
        <f>SUM(M41:M43)</f>
        <v>100</v>
      </c>
      <c r="N45" s="80">
        <f>SUM(N$41:N$44)</f>
        <v>12.420386328589153</v>
      </c>
      <c r="O45" s="44">
        <f>'SASARAN PPH'!E$64</f>
        <v>7.9044635943069839</v>
      </c>
      <c r="P45" s="44">
        <f>'SASARAN PPH'!F$64</f>
        <v>12.420386328589153</v>
      </c>
      <c r="Q45" s="44">
        <f>'SASARAN PPH'!G$64</f>
        <v>16.936309062871324</v>
      </c>
      <c r="R45" s="44">
        <f>'SASARAN PPH'!H$64</f>
        <v>21.452231797153491</v>
      </c>
      <c r="S45" s="44">
        <f>'SASARAN PPH'!I$64</f>
        <v>25.968154531435662</v>
      </c>
      <c r="T45" s="44">
        <f>'SASARAN PPH'!J$64</f>
        <v>30.484077265717829</v>
      </c>
      <c r="U45" s="44">
        <f>'SASARAN PPH'!K$64</f>
        <v>35</v>
      </c>
      <c r="V45" s="45"/>
      <c r="W45" s="78">
        <f t="shared" si="33"/>
        <v>4.5334410099350411</v>
      </c>
      <c r="X45" s="78">
        <f t="shared" si="34"/>
        <v>2.8851292119220493</v>
      </c>
      <c r="Y45" s="78">
        <f t="shared" si="35"/>
        <v>4.5334410099350411</v>
      </c>
      <c r="Z45" s="78">
        <f t="shared" si="36"/>
        <v>6.1817528079480333</v>
      </c>
      <c r="AA45" s="78">
        <f t="shared" si="37"/>
        <v>7.8300646059610246</v>
      </c>
      <c r="AB45" s="78">
        <f t="shared" si="38"/>
        <v>9.4783764039740159</v>
      </c>
      <c r="AC45" s="78">
        <f t="shared" si="39"/>
        <v>11.126688201987008</v>
      </c>
      <c r="AD45" s="78">
        <f t="shared" si="40"/>
        <v>12.775</v>
      </c>
    </row>
    <row r="46" spans="2:30" ht="14.1" customHeight="1" outlineLevel="2" x14ac:dyDescent="0.2">
      <c r="B46" s="37"/>
      <c r="C46" s="38" t="s">
        <v>205</v>
      </c>
      <c r="D46" s="81"/>
      <c r="E46" s="82"/>
      <c r="F46" s="51"/>
      <c r="G46" s="52"/>
      <c r="H46" s="52"/>
      <c r="I46" s="52"/>
      <c r="J46" s="52"/>
      <c r="K46" s="52"/>
      <c r="L46" s="53"/>
      <c r="M46" s="81"/>
      <c r="N46" s="82"/>
      <c r="O46" s="51"/>
      <c r="P46" s="52"/>
      <c r="Q46" s="52"/>
      <c r="R46" s="52"/>
      <c r="S46" s="52"/>
      <c r="T46" s="52"/>
      <c r="U46" s="53"/>
      <c r="V46" s="45"/>
      <c r="W46" s="83"/>
      <c r="X46" s="84"/>
      <c r="Y46" s="85"/>
      <c r="Z46" s="85"/>
      <c r="AA46" s="85"/>
      <c r="AB46" s="85"/>
      <c r="AC46" s="85"/>
      <c r="AD46" s="86"/>
    </row>
    <row r="47" spans="2:30" ht="14.1" customHeight="1" outlineLevel="2" x14ac:dyDescent="0.2">
      <c r="B47" s="41">
        <v>23</v>
      </c>
      <c r="C47" s="37" t="s">
        <v>160</v>
      </c>
      <c r="D47" s="79">
        <f>E47/E$49*100</f>
        <v>99.10437613313043</v>
      </c>
      <c r="E47" s="76">
        <f t="array" ref="E47">SUM(IF(SUSENAS!$AB$11:$AB$256=$B47,SUSENAS!$AQ$11:$AQ$255,0))</f>
        <v>104.83648296922739</v>
      </c>
      <c r="F47" s="44">
        <f t="shared" ref="F47:L47" si="45">F49*$D47/100</f>
        <v>105.98290433644679</v>
      </c>
      <c r="G47" s="44">
        <f t="shared" si="45"/>
        <v>104.8364829692274</v>
      </c>
      <c r="H47" s="44">
        <f t="shared" si="45"/>
        <v>103.69006160200799</v>
      </c>
      <c r="I47" s="44">
        <f t="shared" si="45"/>
        <v>102.5436402347886</v>
      </c>
      <c r="J47" s="44">
        <f t="shared" si="45"/>
        <v>101.39721886756922</v>
      </c>
      <c r="K47" s="44">
        <f t="shared" si="45"/>
        <v>100.25079750034982</v>
      </c>
      <c r="L47" s="44">
        <f t="shared" si="45"/>
        <v>99.10437613313043</v>
      </c>
      <c r="M47" s="79">
        <f>N47/N$49*100</f>
        <v>99.134992569470825</v>
      </c>
      <c r="N47" s="76">
        <f t="array" ref="N47">SUM(IF(SUSENAS!$AB$11:$AB$256=$B47,SUSENAS!$AU$11:$AU$255,0))</f>
        <v>28.801231584952578</v>
      </c>
      <c r="O47" s="44">
        <f t="shared" ref="O47:U47" si="46">O49*$M47/100</f>
        <v>28.613378347774841</v>
      </c>
      <c r="P47" s="44">
        <f t="shared" si="46"/>
        <v>28.801231584952578</v>
      </c>
      <c r="Q47" s="44">
        <f t="shared" si="46"/>
        <v>28.989084822130312</v>
      </c>
      <c r="R47" s="44">
        <f t="shared" si="46"/>
        <v>29.176938059308046</v>
      </c>
      <c r="S47" s="44">
        <f t="shared" si="46"/>
        <v>29.364791296485777</v>
      </c>
      <c r="T47" s="44">
        <f t="shared" si="46"/>
        <v>29.552644533663511</v>
      </c>
      <c r="U47" s="44">
        <f t="shared" si="46"/>
        <v>29.740497770841248</v>
      </c>
      <c r="V47" s="45"/>
      <c r="W47" s="78">
        <f t="shared" ref="W47:W49" si="47">N47*365/1000</f>
        <v>10.512449528507691</v>
      </c>
      <c r="X47" s="78">
        <f t="shared" ref="X47:X49" si="48">O47*365/1000</f>
        <v>10.443883096937817</v>
      </c>
      <c r="Y47" s="78">
        <f t="shared" ref="Y47:Y49" si="49">P47*365/1000</f>
        <v>10.512449528507691</v>
      </c>
      <c r="Z47" s="78">
        <f t="shared" ref="Z47:Z49" si="50">Q47*365/1000</f>
        <v>10.581015960077565</v>
      </c>
      <c r="AA47" s="78">
        <f t="shared" ref="AA47:AA49" si="51">R47*365/1000</f>
        <v>10.649582391647437</v>
      </c>
      <c r="AB47" s="78">
        <f t="shared" ref="AB47:AB49" si="52">S47*365/1000</f>
        <v>10.718148823217309</v>
      </c>
      <c r="AC47" s="78">
        <f t="shared" ref="AC47:AC49" si="53">T47*365/1000</f>
        <v>10.786715254787181</v>
      </c>
      <c r="AD47" s="78">
        <f t="shared" ref="AD47:AD49" si="54">U47*365/1000</f>
        <v>10.855281686357054</v>
      </c>
    </row>
    <row r="48" spans="2:30" ht="14.1" customHeight="1" outlineLevel="2" x14ac:dyDescent="0.2">
      <c r="B48" s="41">
        <v>24</v>
      </c>
      <c r="C48" s="37" t="s">
        <v>161</v>
      </c>
      <c r="D48" s="79">
        <f>E48/E$49*100</f>
        <v>0.8956238668695764</v>
      </c>
      <c r="E48" s="76">
        <f t="array" ref="E48">SUM(IF(SUSENAS!$AB$11:$AB$256=$B48,SUSENAS!$AQ$11:$AQ$255,0))</f>
        <v>0.94742593545793286</v>
      </c>
      <c r="F48" s="44">
        <f t="shared" ref="F48:L48" si="55">F49*$D48/100</f>
        <v>0.95778634917560412</v>
      </c>
      <c r="G48" s="44">
        <f t="shared" si="55"/>
        <v>0.94742593545793286</v>
      </c>
      <c r="H48" s="44">
        <f t="shared" si="55"/>
        <v>0.93706552174026159</v>
      </c>
      <c r="I48" s="44">
        <f t="shared" si="55"/>
        <v>0.92670510802259021</v>
      </c>
      <c r="J48" s="44">
        <f t="shared" si="55"/>
        <v>0.91634469430491905</v>
      </c>
      <c r="K48" s="44">
        <f t="shared" si="55"/>
        <v>0.90598428058724778</v>
      </c>
      <c r="L48" s="44">
        <f t="shared" si="55"/>
        <v>0.8956238668695764</v>
      </c>
      <c r="M48" s="79">
        <f>N48/N$49*100</f>
        <v>0.86500743052917783</v>
      </c>
      <c r="N48" s="76">
        <f t="array" ref="N48">SUM(IF(SUSENAS!$AB$11:$AB$256=$B48,SUSENAS!$AU$11:$AU$255,0))</f>
        <v>0.25130661417982303</v>
      </c>
      <c r="O48" s="44">
        <f t="shared" ref="O48:U48" si="56">O49*$M48/100</f>
        <v>0.24966749118403697</v>
      </c>
      <c r="P48" s="44">
        <f t="shared" si="56"/>
        <v>0.25130661417982303</v>
      </c>
      <c r="Q48" s="44">
        <f t="shared" si="56"/>
        <v>0.25294573717560914</v>
      </c>
      <c r="R48" s="44">
        <f t="shared" si="56"/>
        <v>0.25458486017139514</v>
      </c>
      <c r="S48" s="44">
        <f t="shared" si="56"/>
        <v>0.2562239831671812</v>
      </c>
      <c r="T48" s="44">
        <f t="shared" si="56"/>
        <v>0.25786310616296726</v>
      </c>
      <c r="U48" s="44">
        <f t="shared" si="56"/>
        <v>0.25950222915875337</v>
      </c>
      <c r="V48" s="45"/>
      <c r="W48" s="78">
        <f t="shared" si="47"/>
        <v>9.1726914175635402E-2</v>
      </c>
      <c r="X48" s="78">
        <f t="shared" si="48"/>
        <v>9.1128634282173493E-2</v>
      </c>
      <c r="Y48" s="78">
        <f t="shared" si="49"/>
        <v>9.1726914175635402E-2</v>
      </c>
      <c r="Z48" s="78">
        <f t="shared" si="50"/>
        <v>9.2325194069097338E-2</v>
      </c>
      <c r="AA48" s="78">
        <f t="shared" si="51"/>
        <v>9.2923473962559233E-2</v>
      </c>
      <c r="AB48" s="78">
        <f t="shared" si="52"/>
        <v>9.3521753856021142E-2</v>
      </c>
      <c r="AC48" s="78">
        <f t="shared" si="53"/>
        <v>9.4120033749483051E-2</v>
      </c>
      <c r="AD48" s="78">
        <f t="shared" si="54"/>
        <v>9.4718313642944973E-2</v>
      </c>
    </row>
    <row r="49" spans="2:30" ht="14.1" customHeight="1" outlineLevel="1" x14ac:dyDescent="0.2">
      <c r="B49" s="49"/>
      <c r="C49" s="49" t="s">
        <v>162</v>
      </c>
      <c r="D49" s="79">
        <f>SUM(D47:D48)</f>
        <v>100</v>
      </c>
      <c r="E49" s="80">
        <f>SUM(E$47:E$48)</f>
        <v>105.78390890468532</v>
      </c>
      <c r="F49" s="44">
        <f>'SASARAN PPH'!E$49</f>
        <v>106.94069068562239</v>
      </c>
      <c r="G49" s="44">
        <f>'SASARAN PPH'!F$49</f>
        <v>105.78390890468532</v>
      </c>
      <c r="H49" s="44">
        <f>'SASARAN PPH'!G$49</f>
        <v>104.62712712374825</v>
      </c>
      <c r="I49" s="44">
        <f>'SASARAN PPH'!H$49</f>
        <v>103.47034534281119</v>
      </c>
      <c r="J49" s="44">
        <f>'SASARAN PPH'!I$49</f>
        <v>102.31356356187413</v>
      </c>
      <c r="K49" s="44">
        <f>'SASARAN PPH'!J$49</f>
        <v>101.15678178093707</v>
      </c>
      <c r="L49" s="44">
        <f>'SASARAN PPH'!K$49</f>
        <v>100</v>
      </c>
      <c r="M49" s="79">
        <f>SUM(M47:M48)</f>
        <v>100</v>
      </c>
      <c r="N49" s="80">
        <f>SUM(N$47:N$48)</f>
        <v>29.0525381991324</v>
      </c>
      <c r="O49" s="44">
        <f>'SASARAN PPH'!E$65</f>
        <v>28.863045838958879</v>
      </c>
      <c r="P49" s="44">
        <f>'SASARAN PPH'!F$65</f>
        <v>29.0525381991324</v>
      </c>
      <c r="Q49" s="44">
        <f>'SASARAN PPH'!G$65</f>
        <v>29.24203055930592</v>
      </c>
      <c r="R49" s="44">
        <f>'SASARAN PPH'!H$65</f>
        <v>29.431522919479441</v>
      </c>
      <c r="S49" s="44">
        <f>'SASARAN PPH'!I$65</f>
        <v>29.621015279652958</v>
      </c>
      <c r="T49" s="44">
        <f>'SASARAN PPH'!J$65</f>
        <v>29.810507639826479</v>
      </c>
      <c r="U49" s="44">
        <f>'SASARAN PPH'!K$65</f>
        <v>30</v>
      </c>
      <c r="V49" s="45"/>
      <c r="W49" s="78">
        <f t="shared" si="47"/>
        <v>10.604176442683325</v>
      </c>
      <c r="X49" s="78">
        <f t="shared" si="48"/>
        <v>10.53501173121999</v>
      </c>
      <c r="Y49" s="78">
        <f t="shared" si="49"/>
        <v>10.604176442683325</v>
      </c>
      <c r="Z49" s="78">
        <f t="shared" si="50"/>
        <v>10.673341154146661</v>
      </c>
      <c r="AA49" s="78">
        <f t="shared" si="51"/>
        <v>10.742505865609996</v>
      </c>
      <c r="AB49" s="78">
        <f t="shared" si="52"/>
        <v>10.811670577073329</v>
      </c>
      <c r="AC49" s="78">
        <f t="shared" si="53"/>
        <v>10.880835288536666</v>
      </c>
      <c r="AD49" s="78">
        <f t="shared" si="54"/>
        <v>10.95</v>
      </c>
    </row>
    <row r="50" spans="2:30" s="17" customFormat="1" ht="14.1" customHeight="1" outlineLevel="2" x14ac:dyDescent="0.2">
      <c r="B50" s="57"/>
      <c r="C50" s="38" t="s">
        <v>207</v>
      </c>
      <c r="D50" s="81"/>
      <c r="E50" s="87"/>
      <c r="F50" s="58"/>
      <c r="G50" s="59"/>
      <c r="H50" s="59"/>
      <c r="I50" s="59"/>
      <c r="J50" s="59"/>
      <c r="K50" s="59"/>
      <c r="L50" s="60"/>
      <c r="M50" s="81"/>
      <c r="N50" s="87"/>
      <c r="O50" s="58"/>
      <c r="P50" s="59"/>
      <c r="Q50" s="59"/>
      <c r="R50" s="59"/>
      <c r="S50" s="59"/>
      <c r="T50" s="59"/>
      <c r="U50" s="60"/>
      <c r="V50" s="62"/>
      <c r="W50" s="88"/>
      <c r="X50" s="89"/>
      <c r="Y50" s="90"/>
      <c r="Z50" s="90"/>
      <c r="AA50" s="90"/>
      <c r="AB50" s="90"/>
      <c r="AC50" s="90"/>
      <c r="AD50" s="91"/>
    </row>
    <row r="51" spans="2:30" ht="14.1" customHeight="1" outlineLevel="2" x14ac:dyDescent="0.2">
      <c r="B51" s="41">
        <v>25</v>
      </c>
      <c r="C51" s="37" t="s">
        <v>163</v>
      </c>
      <c r="D51" s="79">
        <f>E51/E$53*100</f>
        <v>74.688204971724986</v>
      </c>
      <c r="E51" s="76">
        <f t="array" ref="E51">SUM(IF(SUSENAS!$AB$11:$AB$256=$B51,SUSENAS!$AQ$11:$AQ$255,0))</f>
        <v>65.64654157957699</v>
      </c>
      <c r="F51" s="44">
        <f t="shared" ref="F51:L51" si="57">F53*$D51/100</f>
        <v>60.850680702278389</v>
      </c>
      <c r="G51" s="44">
        <f t="shared" si="57"/>
        <v>65.64654157957699</v>
      </c>
      <c r="H51" s="44">
        <f t="shared" si="57"/>
        <v>70.442402456875584</v>
      </c>
      <c r="I51" s="44">
        <f t="shared" si="57"/>
        <v>75.238263334174178</v>
      </c>
      <c r="J51" s="44">
        <f t="shared" si="57"/>
        <v>80.034124211472786</v>
      </c>
      <c r="K51" s="44">
        <f t="shared" si="57"/>
        <v>84.829985088771394</v>
      </c>
      <c r="L51" s="44">
        <f t="shared" si="57"/>
        <v>89.625845966069974</v>
      </c>
      <c r="M51" s="79">
        <f>N51/N$53*100</f>
        <v>71.315027266415044</v>
      </c>
      <c r="N51" s="76">
        <f t="array" ref="N51">SUM(IF(SUSENAS!$AB$11:$AB$256=$B51,SUSENAS!$AU$11:$AU$255,0))</f>
        <v>125.51834267448021</v>
      </c>
      <c r="O51" s="44">
        <f t="shared" ref="O51:U51" si="58">O53*$M51/100</f>
        <v>114.96449757616874</v>
      </c>
      <c r="P51" s="44">
        <f t="shared" si="58"/>
        <v>125.51834267448021</v>
      </c>
      <c r="Q51" s="44">
        <f t="shared" si="58"/>
        <v>136.07218777279169</v>
      </c>
      <c r="R51" s="44">
        <f t="shared" si="58"/>
        <v>146.62603287110315</v>
      </c>
      <c r="S51" s="44">
        <f t="shared" si="58"/>
        <v>157.17987796941466</v>
      </c>
      <c r="T51" s="44">
        <f t="shared" si="58"/>
        <v>167.73372306772615</v>
      </c>
      <c r="U51" s="44">
        <f t="shared" si="58"/>
        <v>178.2875681660376</v>
      </c>
      <c r="V51" s="45"/>
      <c r="W51" s="78">
        <f t="shared" ref="W51:W53" si="59">N51*365/1000</f>
        <v>45.814195076185278</v>
      </c>
      <c r="X51" s="78">
        <f t="shared" ref="X51:X53" si="60">O51*365/1000</f>
        <v>41.962041615301594</v>
      </c>
      <c r="Y51" s="78">
        <f t="shared" ref="Y51:Y53" si="61">P51*365/1000</f>
        <v>45.814195076185278</v>
      </c>
      <c r="Z51" s="78">
        <f t="shared" ref="Z51:Z53" si="62">Q51*365/1000</f>
        <v>49.66634853706897</v>
      </c>
      <c r="AA51" s="78">
        <f t="shared" ref="AA51:AA53" si="63">R51*365/1000</f>
        <v>53.518501997952647</v>
      </c>
      <c r="AB51" s="78">
        <f t="shared" ref="AB51:AB53" si="64">S51*365/1000</f>
        <v>57.370655458836353</v>
      </c>
      <c r="AC51" s="78">
        <f t="shared" ref="AC51:AC53" si="65">T51*365/1000</f>
        <v>61.222808919720045</v>
      </c>
      <c r="AD51" s="78">
        <f t="shared" ref="AD51:AD53" si="66">U51*365/1000</f>
        <v>65.074962380603722</v>
      </c>
    </row>
    <row r="52" spans="2:30" ht="14.1" customHeight="1" outlineLevel="2" x14ac:dyDescent="0.2">
      <c r="B52" s="41">
        <v>26</v>
      </c>
      <c r="C52" s="37" t="s">
        <v>164</v>
      </c>
      <c r="D52" s="79">
        <f>E52/E$53*100</f>
        <v>25.311795028275014</v>
      </c>
      <c r="E52" s="76">
        <f t="array" ref="E52">SUM(IF(SUSENAS!$AB$11:$AB$256=$B52,SUSENAS!$AQ$11:$AQ$255,0))</f>
        <v>22.247579860922301</v>
      </c>
      <c r="F52" s="44">
        <f t="shared" ref="F52:L52" si="67">F53*$D52/100</f>
        <v>20.622265026320761</v>
      </c>
      <c r="G52" s="44">
        <f t="shared" si="67"/>
        <v>22.247579860922301</v>
      </c>
      <c r="H52" s="44">
        <f t="shared" si="67"/>
        <v>23.872894695523847</v>
      </c>
      <c r="I52" s="44">
        <f t="shared" si="67"/>
        <v>25.498209530125386</v>
      </c>
      <c r="J52" s="44">
        <f t="shared" si="67"/>
        <v>27.123524364726933</v>
      </c>
      <c r="K52" s="44">
        <f t="shared" si="67"/>
        <v>28.748839199328476</v>
      </c>
      <c r="L52" s="44">
        <f t="shared" si="67"/>
        <v>30.374154033930019</v>
      </c>
      <c r="M52" s="79">
        <f>N52/N$53*100</f>
        <v>28.684972733584953</v>
      </c>
      <c r="N52" s="76">
        <f t="array" ref="N52">SUM(IF(SUSENAS!$AB$11:$AB$256=$B52,SUSENAS!$AU$11:$AU$255,0))</f>
        <v>50.487118566634066</v>
      </c>
      <c r="O52" s="44">
        <f t="shared" ref="O52:U52" si="68">O53*$M52/100</f>
        <v>46.242055913168407</v>
      </c>
      <c r="P52" s="44">
        <f t="shared" si="68"/>
        <v>50.487118566634059</v>
      </c>
      <c r="Q52" s="44">
        <f t="shared" si="68"/>
        <v>54.732181220099726</v>
      </c>
      <c r="R52" s="44">
        <f t="shared" si="68"/>
        <v>58.977243873565392</v>
      </c>
      <c r="S52" s="44">
        <f t="shared" si="68"/>
        <v>63.222306527031058</v>
      </c>
      <c r="T52" s="44">
        <f t="shared" si="68"/>
        <v>67.467369180496718</v>
      </c>
      <c r="U52" s="44">
        <f t="shared" si="68"/>
        <v>71.712431833962384</v>
      </c>
      <c r="V52" s="45"/>
      <c r="W52" s="78">
        <f t="shared" si="59"/>
        <v>18.427798276821434</v>
      </c>
      <c r="X52" s="78">
        <f t="shared" si="60"/>
        <v>16.878350408306471</v>
      </c>
      <c r="Y52" s="78">
        <f t="shared" si="61"/>
        <v>18.427798276821431</v>
      </c>
      <c r="Z52" s="78">
        <f t="shared" si="62"/>
        <v>19.977246145336402</v>
      </c>
      <c r="AA52" s="78">
        <f t="shared" si="63"/>
        <v>21.526694013851369</v>
      </c>
      <c r="AB52" s="78">
        <f t="shared" si="64"/>
        <v>23.076141882366336</v>
      </c>
      <c r="AC52" s="78">
        <f t="shared" si="65"/>
        <v>24.625589750881304</v>
      </c>
      <c r="AD52" s="78">
        <f t="shared" si="66"/>
        <v>26.175037619396271</v>
      </c>
    </row>
    <row r="53" spans="2:30" ht="14.1" customHeight="1" outlineLevel="1" x14ac:dyDescent="0.2">
      <c r="B53" s="49"/>
      <c r="C53" s="49" t="s">
        <v>165</v>
      </c>
      <c r="D53" s="79">
        <f>SUM(D51:D52)</f>
        <v>100</v>
      </c>
      <c r="E53" s="80">
        <f>SUM(E$51:E$52)</f>
        <v>87.894121440499291</v>
      </c>
      <c r="F53" s="44">
        <f>'SASARAN PPH'!E$50</f>
        <v>81.472945728599143</v>
      </c>
      <c r="G53" s="44">
        <f>'SASARAN PPH'!F$50</f>
        <v>87.894121440499291</v>
      </c>
      <c r="H53" s="44">
        <f>'SASARAN PPH'!G$50</f>
        <v>94.315297152399438</v>
      </c>
      <c r="I53" s="44">
        <f>'SASARAN PPH'!H$50</f>
        <v>100.73647286429957</v>
      </c>
      <c r="J53" s="44">
        <f>'SASARAN PPH'!I$50</f>
        <v>107.15764857619972</v>
      </c>
      <c r="K53" s="44">
        <f>'SASARAN PPH'!J$50</f>
        <v>113.57882428809987</v>
      </c>
      <c r="L53" s="44">
        <f>'SASARAN PPH'!K$50</f>
        <v>120</v>
      </c>
      <c r="M53" s="79">
        <f>SUM(M51:M52)</f>
        <v>100</v>
      </c>
      <c r="N53" s="80">
        <f>SUM(N$51:N$52)</f>
        <v>176.00546124111429</v>
      </c>
      <c r="O53" s="44">
        <f>'SASARAN PPH'!E$66</f>
        <v>161.20655348933715</v>
      </c>
      <c r="P53" s="44">
        <f>'SASARAN PPH'!F$66</f>
        <v>176.00546124111429</v>
      </c>
      <c r="Q53" s="44">
        <f>'SASARAN PPH'!G$66</f>
        <v>190.80436899289143</v>
      </c>
      <c r="R53" s="44">
        <f>'SASARAN PPH'!H$66</f>
        <v>205.60327674466856</v>
      </c>
      <c r="S53" s="44">
        <f>'SASARAN PPH'!I$66</f>
        <v>220.40218449644573</v>
      </c>
      <c r="T53" s="44">
        <f>'SASARAN PPH'!J$66</f>
        <v>235.20109224822286</v>
      </c>
      <c r="U53" s="44">
        <f>'SASARAN PPH'!K$66</f>
        <v>250</v>
      </c>
      <c r="V53" s="45"/>
      <c r="W53" s="78">
        <f t="shared" si="59"/>
        <v>64.24199335300672</v>
      </c>
      <c r="X53" s="78">
        <f t="shared" si="60"/>
        <v>58.840392023608061</v>
      </c>
      <c r="Y53" s="78">
        <f t="shared" si="61"/>
        <v>64.24199335300672</v>
      </c>
      <c r="Z53" s="78">
        <f t="shared" si="62"/>
        <v>69.643594682405364</v>
      </c>
      <c r="AA53" s="78">
        <f t="shared" si="63"/>
        <v>75.045196011804023</v>
      </c>
      <c r="AB53" s="78">
        <f t="shared" si="64"/>
        <v>80.446797341202696</v>
      </c>
      <c r="AC53" s="78">
        <f t="shared" si="65"/>
        <v>85.848398670601341</v>
      </c>
      <c r="AD53" s="78">
        <f t="shared" si="66"/>
        <v>91.25</v>
      </c>
    </row>
    <row r="54" spans="2:30" ht="14.1" customHeight="1" outlineLevel="2" x14ac:dyDescent="0.2">
      <c r="B54" s="37"/>
      <c r="C54" s="38" t="s">
        <v>206</v>
      </c>
      <c r="D54" s="81"/>
      <c r="E54" s="82"/>
      <c r="F54" s="51"/>
      <c r="G54" s="52"/>
      <c r="H54" s="52"/>
      <c r="I54" s="52"/>
      <c r="J54" s="52"/>
      <c r="K54" s="52"/>
      <c r="L54" s="53"/>
      <c r="M54" s="81"/>
      <c r="N54" s="82"/>
      <c r="O54" s="51"/>
      <c r="P54" s="52"/>
      <c r="Q54" s="52"/>
      <c r="R54" s="52"/>
      <c r="S54" s="52"/>
      <c r="T54" s="52"/>
      <c r="U54" s="53"/>
      <c r="V54" s="45"/>
      <c r="W54" s="83"/>
      <c r="X54" s="84"/>
      <c r="Y54" s="85"/>
      <c r="Z54" s="85"/>
      <c r="AA54" s="85"/>
      <c r="AB54" s="85"/>
      <c r="AC54" s="85"/>
      <c r="AD54" s="86"/>
    </row>
    <row r="55" spans="2:30" ht="14.1" customHeight="1" outlineLevel="2" x14ac:dyDescent="0.2">
      <c r="B55" s="41">
        <v>27</v>
      </c>
      <c r="C55" s="37" t="s">
        <v>166</v>
      </c>
      <c r="D55" s="79">
        <f>E55/E$57*100</f>
        <v>9.2897859914570642</v>
      </c>
      <c r="E55" s="76">
        <f t="array" ref="E55">SUM(IF(SUSENAS!$AB$11:$AB$256=$B55,SUSENAS!$AQ$11:$AQ$255,0))</f>
        <v>22.585756675716134</v>
      </c>
      <c r="F55" s="44">
        <f t="shared" ref="F55:L55" si="69">F57*$D55/100</f>
        <v>25.988133691884514</v>
      </c>
      <c r="G55" s="44">
        <f t="shared" si="69"/>
        <v>22.585756675716134</v>
      </c>
      <c r="H55" s="44">
        <f t="shared" si="69"/>
        <v>19.183379659547754</v>
      </c>
      <c r="I55" s="44">
        <f t="shared" si="69"/>
        <v>15.781002643379379</v>
      </c>
      <c r="J55" s="44">
        <f t="shared" si="69"/>
        <v>12.378625627210997</v>
      </c>
      <c r="K55" s="44">
        <f t="shared" si="69"/>
        <v>8.9762486110426192</v>
      </c>
      <c r="L55" s="44">
        <f t="shared" si="69"/>
        <v>5.5738715948742392</v>
      </c>
      <c r="M55" s="79">
        <f>N55/N$57*100</f>
        <v>9.0471472153112593</v>
      </c>
      <c r="N55" s="76">
        <f t="array" ref="N55">SUM(IF(SUSENAS!$AB$11:$AB$256=$B55,SUSENAS!$AU$11:$AU$255,0))</f>
        <v>92.7487976923194</v>
      </c>
      <c r="O55" s="44">
        <f t="shared" ref="O55:U55" si="70">O57*$M55/100</f>
        <v>111.29855723078327</v>
      </c>
      <c r="P55" s="44">
        <f t="shared" si="70"/>
        <v>92.7487976923194</v>
      </c>
      <c r="Q55" s="44">
        <f t="shared" si="70"/>
        <v>74.199038153855511</v>
      </c>
      <c r="R55" s="44">
        <f t="shared" si="70"/>
        <v>55.649278615391637</v>
      </c>
      <c r="S55" s="44">
        <f t="shared" si="70"/>
        <v>37.099519076927763</v>
      </c>
      <c r="T55" s="44">
        <f t="shared" si="70"/>
        <v>18.549759538463881</v>
      </c>
      <c r="U55" s="44">
        <f t="shared" si="70"/>
        <v>0</v>
      </c>
      <c r="V55" s="45"/>
      <c r="W55" s="78">
        <f t="shared" ref="W55:W57" si="71">N55*365/1000</f>
        <v>33.853311157696581</v>
      </c>
      <c r="X55" s="78">
        <f t="shared" ref="X55:X57" si="72">O55*365/1000</f>
        <v>40.623973389235893</v>
      </c>
      <c r="Y55" s="78">
        <f t="shared" ref="Y55:Y57" si="73">P55*365/1000</f>
        <v>33.853311157696581</v>
      </c>
      <c r="Z55" s="78">
        <f t="shared" ref="Z55:Z57" si="74">Q55*365/1000</f>
        <v>27.082648926157262</v>
      </c>
      <c r="AA55" s="78">
        <f t="shared" ref="AA55:AA57" si="75">R55*365/1000</f>
        <v>20.311986694617946</v>
      </c>
      <c r="AB55" s="78">
        <f t="shared" ref="AB55:AB57" si="76">S55*365/1000</f>
        <v>13.541324463078634</v>
      </c>
      <c r="AC55" s="78">
        <f t="shared" ref="AC55:AC57" si="77">T55*365/1000</f>
        <v>6.7706622315393172</v>
      </c>
      <c r="AD55" s="78">
        <f t="shared" ref="AD55:AD57" si="78">U55*365/1000</f>
        <v>0</v>
      </c>
    </row>
    <row r="56" spans="2:30" ht="14.1" customHeight="1" outlineLevel="2" x14ac:dyDescent="0.2">
      <c r="B56" s="41">
        <v>28</v>
      </c>
      <c r="C56" s="37" t="s">
        <v>167</v>
      </c>
      <c r="D56" s="79">
        <f>E56/E$57*100</f>
        <v>90.710214008542934</v>
      </c>
      <c r="E56" s="76">
        <f t="array" ref="E56">SUM(IF(SUSENAS!$AB$11:$AB$256=$B56,SUSENAS!$AQ$11:$AQ$255,0))</f>
        <v>220.53886101177542</v>
      </c>
      <c r="F56" s="44">
        <f t="shared" ref="F56:L56" si="79">F57*$D56/100</f>
        <v>253.76140753310534</v>
      </c>
      <c r="G56" s="44">
        <f t="shared" si="79"/>
        <v>220.53886101177545</v>
      </c>
      <c r="H56" s="44">
        <f t="shared" si="79"/>
        <v>187.31631449044548</v>
      </c>
      <c r="I56" s="44">
        <f t="shared" si="79"/>
        <v>154.09376796911559</v>
      </c>
      <c r="J56" s="44">
        <f t="shared" si="79"/>
        <v>120.87122144778563</v>
      </c>
      <c r="K56" s="44">
        <f t="shared" si="79"/>
        <v>87.648674926455698</v>
      </c>
      <c r="L56" s="44">
        <f t="shared" si="79"/>
        <v>54.426128405125766</v>
      </c>
      <c r="M56" s="79">
        <f>N56/N$57*100</f>
        <v>90.952852784688744</v>
      </c>
      <c r="N56" s="76">
        <f t="array" ref="N56">SUM(IF(SUSENAS!$AB$11:$AB$256=$B56,SUSENAS!$AU$11:$AU$255,0))</f>
        <v>932.42295518192032</v>
      </c>
      <c r="O56" s="44">
        <f t="shared" ref="O56:U56" si="80">O57*$M56/100</f>
        <v>1118.9075462183043</v>
      </c>
      <c r="P56" s="44">
        <f t="shared" si="80"/>
        <v>932.42295518192043</v>
      </c>
      <c r="Q56" s="44">
        <f t="shared" si="80"/>
        <v>745.93836414553618</v>
      </c>
      <c r="R56" s="44">
        <f t="shared" si="80"/>
        <v>559.45377310915217</v>
      </c>
      <c r="S56" s="44">
        <f t="shared" si="80"/>
        <v>372.96918207276815</v>
      </c>
      <c r="T56" s="44">
        <f t="shared" si="80"/>
        <v>186.48459103638407</v>
      </c>
      <c r="U56" s="44">
        <f t="shared" si="80"/>
        <v>0</v>
      </c>
      <c r="V56" s="45"/>
      <c r="W56" s="78">
        <f t="shared" si="71"/>
        <v>340.33437864140092</v>
      </c>
      <c r="X56" s="78">
        <f t="shared" si="72"/>
        <v>408.40125436968106</v>
      </c>
      <c r="Y56" s="78">
        <f t="shared" si="73"/>
        <v>340.33437864140097</v>
      </c>
      <c r="Z56" s="78">
        <f t="shared" si="74"/>
        <v>272.26750291312072</v>
      </c>
      <c r="AA56" s="78">
        <f t="shared" si="75"/>
        <v>204.20062718484053</v>
      </c>
      <c r="AB56" s="78">
        <f t="shared" si="76"/>
        <v>136.13375145656036</v>
      </c>
      <c r="AC56" s="78">
        <f t="shared" si="77"/>
        <v>68.066875728280181</v>
      </c>
      <c r="AD56" s="78">
        <f t="shared" si="78"/>
        <v>0</v>
      </c>
    </row>
    <row r="57" spans="2:30" ht="14.1" customHeight="1" outlineLevel="1" x14ac:dyDescent="0.2">
      <c r="B57" s="49"/>
      <c r="C57" s="49" t="s">
        <v>168</v>
      </c>
      <c r="D57" s="79">
        <f>SUM(D55:D56)</f>
        <v>100</v>
      </c>
      <c r="E57" s="80">
        <f>SUM(E$55:E$56)</f>
        <v>243.12461768749156</v>
      </c>
      <c r="F57" s="44">
        <f>'SASARAN PPH'!E$51</f>
        <v>279.74954122498985</v>
      </c>
      <c r="G57" s="44">
        <f>'SASARAN PPH'!F$51</f>
        <v>243.12461768749156</v>
      </c>
      <c r="H57" s="44">
        <f>'SASARAN PPH'!G$51</f>
        <v>206.49969414999325</v>
      </c>
      <c r="I57" s="44">
        <f>'SASARAN PPH'!H$51</f>
        <v>169.87477061249496</v>
      </c>
      <c r="J57" s="44">
        <f>'SASARAN PPH'!I$51</f>
        <v>133.24984707499664</v>
      </c>
      <c r="K57" s="44">
        <f>'SASARAN PPH'!J$51</f>
        <v>96.624923537498319</v>
      </c>
      <c r="L57" s="44">
        <f>'SASARAN PPH'!K$51</f>
        <v>60</v>
      </c>
      <c r="M57" s="79">
        <f>SUM(M55:M56)</f>
        <v>100</v>
      </c>
      <c r="N57" s="80">
        <f>SUM(N$55:N$56)</f>
        <v>1025.1717528742397</v>
      </c>
      <c r="O57" s="44">
        <f>'SASARAN PPH'!E$67</f>
        <v>1230.2061034490875</v>
      </c>
      <c r="P57" s="44">
        <f>'SASARAN PPH'!F$67</f>
        <v>1025.1717528742397</v>
      </c>
      <c r="Q57" s="44">
        <f>'SASARAN PPH'!G$67</f>
        <v>820.13740229939174</v>
      </c>
      <c r="R57" s="44">
        <f>'SASARAN PPH'!H$67</f>
        <v>615.10305172454377</v>
      </c>
      <c r="S57" s="44">
        <f>'SASARAN PPH'!I$67</f>
        <v>410.06870114969593</v>
      </c>
      <c r="T57" s="44">
        <f>'SASARAN PPH'!J$67</f>
        <v>205.03435057484796</v>
      </c>
      <c r="U57" s="44">
        <f>'SASARAN PPH'!K$67</f>
        <v>0</v>
      </c>
      <c r="V57" s="45"/>
      <c r="W57" s="78">
        <f t="shared" si="71"/>
        <v>374.18768979909748</v>
      </c>
      <c r="X57" s="78">
        <f t="shared" si="72"/>
        <v>449.02522775891697</v>
      </c>
      <c r="Y57" s="78">
        <f t="shared" si="73"/>
        <v>374.18768979909748</v>
      </c>
      <c r="Z57" s="78">
        <f t="shared" si="74"/>
        <v>299.350151839278</v>
      </c>
      <c r="AA57" s="78">
        <f t="shared" si="75"/>
        <v>224.51261387945848</v>
      </c>
      <c r="AB57" s="78">
        <f t="shared" si="76"/>
        <v>149.675075919639</v>
      </c>
      <c r="AC57" s="78">
        <f t="shared" si="77"/>
        <v>74.8375379598195</v>
      </c>
      <c r="AD57" s="78">
        <f t="shared" si="78"/>
        <v>0</v>
      </c>
    </row>
    <row r="58" spans="2:30" ht="14.1" customHeight="1" x14ac:dyDescent="0.2">
      <c r="B58" s="66"/>
      <c r="C58" s="66"/>
    </row>
    <row r="59" spans="2:30" ht="14.1" customHeight="1" x14ac:dyDescent="0.2">
      <c r="B59" s="66"/>
      <c r="C59" s="66"/>
    </row>
    <row r="60" spans="2:30" ht="14.1" customHeight="1" x14ac:dyDescent="0.2">
      <c r="B60" s="66"/>
      <c r="C60" s="66"/>
    </row>
    <row r="61" spans="2:30" ht="14.1" customHeight="1" x14ac:dyDescent="0.2">
      <c r="B61" s="66"/>
      <c r="C61" s="66"/>
    </row>
    <row r="62" spans="2:30" ht="14.1" customHeight="1" x14ac:dyDescent="0.2">
      <c r="B62" s="66"/>
      <c r="C62" s="66"/>
    </row>
    <row r="63" spans="2:30" ht="14.1" customHeight="1" x14ac:dyDescent="0.2">
      <c r="B63" s="66"/>
      <c r="C63" s="66"/>
    </row>
    <row r="64" spans="2:30" ht="14.1" customHeight="1" x14ac:dyDescent="0.2">
      <c r="B64" s="66"/>
      <c r="C64" s="66"/>
    </row>
    <row r="65" spans="2:3" ht="14.1" customHeight="1" x14ac:dyDescent="0.2">
      <c r="B65" s="66"/>
      <c r="C65" s="66"/>
    </row>
    <row r="66" spans="2:3" ht="14.1" customHeight="1" x14ac:dyDescent="0.2">
      <c r="B66" s="66"/>
      <c r="C66" s="66"/>
    </row>
    <row r="67" spans="2:3" ht="14.1" customHeight="1" x14ac:dyDescent="0.2">
      <c r="B67" s="66"/>
      <c r="C67" s="66"/>
    </row>
    <row r="68" spans="2:3" ht="14.1" customHeight="1" x14ac:dyDescent="0.2">
      <c r="B68" s="66"/>
      <c r="C68" s="66"/>
    </row>
    <row r="69" spans="2:3" ht="14.1" customHeight="1" x14ac:dyDescent="0.2">
      <c r="B69" s="66"/>
      <c r="C69" s="66"/>
    </row>
    <row r="70" spans="2:3" ht="14.1" customHeight="1" x14ac:dyDescent="0.2">
      <c r="B70" s="66"/>
      <c r="C70" s="66"/>
    </row>
    <row r="71" spans="2:3" ht="14.1" customHeight="1" x14ac:dyDescent="0.2">
      <c r="B71" s="66"/>
      <c r="C71" s="66"/>
    </row>
    <row r="72" spans="2:3" ht="14.1" customHeight="1" x14ac:dyDescent="0.2">
      <c r="B72" s="66"/>
      <c r="C72" s="66"/>
    </row>
    <row r="73" spans="2:3" ht="14.1" customHeight="1" x14ac:dyDescent="0.2">
      <c r="B73" s="66"/>
      <c r="C73" s="66"/>
    </row>
    <row r="74" spans="2:3" ht="14.1" customHeight="1" x14ac:dyDescent="0.2">
      <c r="B74" s="66"/>
      <c r="C74" s="66"/>
    </row>
    <row r="75" spans="2:3" ht="14.1" customHeight="1" x14ac:dyDescent="0.2">
      <c r="B75" s="66"/>
      <c r="C75" s="66"/>
    </row>
    <row r="76" spans="2:3" ht="14.1" customHeight="1" x14ac:dyDescent="0.2">
      <c r="B76" s="66"/>
      <c r="C76" s="66"/>
    </row>
    <row r="77" spans="2:3" ht="14.1" customHeight="1" x14ac:dyDescent="0.2">
      <c r="B77" s="66"/>
      <c r="C77" s="66"/>
    </row>
  </sheetData>
  <mergeCells count="13">
    <mergeCell ref="W12:AD12"/>
    <mergeCell ref="M9:M11"/>
    <mergeCell ref="B9:B11"/>
    <mergeCell ref="C9:C11"/>
    <mergeCell ref="E12:L12"/>
    <mergeCell ref="N12:U12"/>
    <mergeCell ref="N9:U9"/>
    <mergeCell ref="E9:L9"/>
    <mergeCell ref="F10:L10"/>
    <mergeCell ref="D9:D11"/>
    <mergeCell ref="O10:U10"/>
    <mergeCell ref="W9:AD9"/>
    <mergeCell ref="X10:AD10"/>
  </mergeCells>
  <phoneticPr fontId="0" type="noConversion"/>
  <dataValidations disablePrompts="1" count="1">
    <dataValidation type="whole" allowBlank="1" showInputMessage="1" showErrorMessage="1" errorTitle="Kode Data Konsumsi" error="Maaf.. Pilihan data hanya antara 1 atau 2 !" promptTitle="Kode Data Konsumsi" prompt="1 = Survey Konsumsi Rumahtangga, 2 = Suvey Sosial Ekonomi Nasional" sqref="H5">
      <formula1>1</formula1>
      <formula2>2</formula2>
    </dataValidation>
  </dataValidations>
  <hyperlinks>
    <hyperlink ref="B1" location="MENU!A1" display="KEMBALI KE MENU UTAMA"/>
  </hyperlinks>
  <pageMargins left="0.70866141732283472" right="0.70866141732283472" top="0.74803149606299213" bottom="0.74803149606299213" header="0.31496062992125984" footer="0.31496062992125984"/>
  <pageSetup paperSize="9" scale="63" fitToWidth="0"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77"/>
  <sheetViews>
    <sheetView tabSelected="1" zoomScale="80" zoomScaleNormal="80" workbookViewId="0">
      <pane xSplit="3" ySplit="11" topLeftCell="D12" activePane="bottomRight" state="frozen"/>
      <selection pane="topRight" activeCell="D1" sqref="D1"/>
      <selection pane="bottomLeft" activeCell="A12" sqref="A12"/>
      <selection pane="bottomRight" activeCell="D13" sqref="D13"/>
    </sheetView>
  </sheetViews>
  <sheetFormatPr defaultRowHeight="12.95" customHeight="1" outlineLevelRow="2" x14ac:dyDescent="0.2"/>
  <cols>
    <col min="1" max="1" width="10.28515625" style="16" customWidth="1"/>
    <col min="2" max="2" width="9.5703125" style="16" hidden="1" customWidth="1"/>
    <col min="3" max="3" width="66.28515625" style="16" customWidth="1"/>
    <col min="4" max="11" width="17.7109375" style="16" customWidth="1"/>
    <col min="12" max="12" width="11.28515625" style="16" hidden="1" customWidth="1"/>
    <col min="13" max="20" width="17.7109375" style="16" customWidth="1"/>
    <col min="21" max="21" width="13.42578125" style="16" hidden="1" customWidth="1"/>
    <col min="22" max="16384" width="9.140625" style="16"/>
  </cols>
  <sheetData>
    <row r="1" spans="2:20" ht="12.95" customHeight="1" x14ac:dyDescent="0.2">
      <c r="B1" s="23"/>
    </row>
    <row r="2" spans="2:20" ht="12.95" customHeight="1" x14ac:dyDescent="0.2">
      <c r="C2" s="227"/>
    </row>
    <row r="3" spans="2:20" ht="12.95" customHeight="1" x14ac:dyDescent="0.2">
      <c r="B3" s="23"/>
    </row>
    <row r="4" spans="2:20" ht="12.95" customHeight="1" x14ac:dyDescent="0.2">
      <c r="C4" s="18" t="str">
        <f>UPPER(BASELINE!$C$8)</f>
        <v>BADAN KETAHANAN PANGAN DAN PENYULUHAN</v>
      </c>
      <c r="K4" s="26" t="str">
        <f>UPPER(CONCATENATE(BASELINE!$C$13," ESTMASI KEBUTUHAN PANGAN PENDUDUK"))</f>
        <v>JUSTIFIKASI ESTMASI KEBUTUHAN PANGAN PENDUDUK</v>
      </c>
      <c r="L4" s="26"/>
      <c r="T4" s="26" t="str">
        <f>UPPER(CONCATENATE(BASELINE!$C$13," ESTMASI KEBUTUHAN PANGAN PENDUDUK"))</f>
        <v>JUSTIFIKASI ESTMASI KEBUTUHAN PANGAN PENDUDUK</v>
      </c>
    </row>
    <row r="5" spans="2:20" ht="12.95" customHeight="1" x14ac:dyDescent="0.2">
      <c r="C5" s="18" t="str">
        <f>UPPER(CONCATENATE(IF(UPPER(BASELINE!$C$7)="INDONESIA","KEMENTRIAN PERTANIAN","PROPINSI "),BASELINE!$C$7))</f>
        <v>PROPINSI SUMATERA BARAT</v>
      </c>
      <c r="K5" s="26" t="s">
        <v>395</v>
      </c>
      <c r="L5" s="27"/>
      <c r="T5" s="26" t="s">
        <v>395</v>
      </c>
    </row>
    <row r="6" spans="2:20" ht="12.95" customHeight="1" x14ac:dyDescent="0.2">
      <c r="C6" s="18" t="str">
        <f>UPPER(BASELINE!$C$9)</f>
        <v>JL H AGUS SALIM PAINAN</v>
      </c>
      <c r="D6" s="28"/>
      <c r="E6" s="28"/>
      <c r="H6" s="29"/>
      <c r="I6" s="26"/>
      <c r="K6" s="26" t="str">
        <f>UPPER(CONCATENATE(IF(UPPER(BASELINE!$C$7)="INDONESIA","","PROPINSI "),BASELINE!$C$7," TAHUN ",BASELINE!$C$12))</f>
        <v>PROPINSI SUMATERA BARAT TAHUN 2015</v>
      </c>
      <c r="L6" s="30"/>
      <c r="M6" s="28"/>
      <c r="N6" s="28"/>
      <c r="Q6" s="29"/>
      <c r="R6" s="26"/>
      <c r="T6" s="26" t="str">
        <f>UPPER(CONCATENATE(IF(UPPER(BASELINE!$C$7)="INDONESIA","","PROPINSI "),BASELINE!$C$7," TAHUN ",BASELINE!$C$12))</f>
        <v>PROPINSI SUMATERA BARAT TAHUN 2015</v>
      </c>
    </row>
    <row r="7" spans="2:20" ht="12.95" customHeight="1" x14ac:dyDescent="0.2">
      <c r="B7" s="18"/>
      <c r="D7" s="28"/>
      <c r="E7" s="28"/>
      <c r="H7" s="29"/>
      <c r="I7" s="27"/>
      <c r="K7" s="26"/>
      <c r="L7" s="30"/>
      <c r="M7" s="28"/>
      <c r="N7" s="28"/>
      <c r="Q7" s="29"/>
      <c r="R7" s="27"/>
      <c r="T7" s="26"/>
    </row>
    <row r="8" spans="2:20" ht="12.95" customHeight="1" x14ac:dyDescent="0.2">
      <c r="B8" s="24"/>
      <c r="C8" s="24"/>
      <c r="D8" s="24"/>
      <c r="E8" s="24"/>
      <c r="F8" s="24"/>
      <c r="G8" s="24"/>
      <c r="H8" s="24"/>
      <c r="I8" s="24"/>
      <c r="J8" s="24"/>
      <c r="K8" s="24"/>
      <c r="L8" s="24"/>
      <c r="M8" s="24"/>
      <c r="N8" s="24"/>
      <c r="O8" s="24"/>
      <c r="P8" s="24"/>
      <c r="Q8" s="24"/>
      <c r="R8" s="24"/>
      <c r="S8" s="24"/>
      <c r="T8" s="24"/>
    </row>
    <row r="9" spans="2:20" ht="12.95" customHeight="1" x14ac:dyDescent="0.2">
      <c r="B9" s="351" t="s">
        <v>4</v>
      </c>
      <c r="C9" s="364" t="s">
        <v>185</v>
      </c>
      <c r="D9" s="362" t="s">
        <v>396</v>
      </c>
      <c r="E9" s="362"/>
      <c r="F9" s="362"/>
      <c r="G9" s="362"/>
      <c r="H9" s="362"/>
      <c r="I9" s="362"/>
      <c r="J9" s="362"/>
      <c r="K9" s="363"/>
      <c r="L9" s="30"/>
      <c r="M9" s="361" t="s">
        <v>417</v>
      </c>
      <c r="N9" s="362"/>
      <c r="O9" s="362"/>
      <c r="P9" s="362"/>
      <c r="Q9" s="362"/>
      <c r="R9" s="362"/>
      <c r="S9" s="362"/>
      <c r="T9" s="363"/>
    </row>
    <row r="10" spans="2:20" ht="12.95" customHeight="1" x14ac:dyDescent="0.2">
      <c r="B10" s="358"/>
      <c r="C10" s="364"/>
      <c r="D10" s="31" t="s">
        <v>391</v>
      </c>
      <c r="E10" s="403" t="s">
        <v>393</v>
      </c>
      <c r="F10" s="404"/>
      <c r="G10" s="404"/>
      <c r="H10" s="404"/>
      <c r="I10" s="404"/>
      <c r="J10" s="404"/>
      <c r="K10" s="405"/>
      <c r="L10" s="30"/>
      <c r="M10" s="33" t="s">
        <v>391</v>
      </c>
      <c r="N10" s="403" t="s">
        <v>393</v>
      </c>
      <c r="O10" s="404"/>
      <c r="P10" s="404"/>
      <c r="Q10" s="404"/>
      <c r="R10" s="404"/>
      <c r="S10" s="404"/>
      <c r="T10" s="405"/>
    </row>
    <row r="11" spans="2:20" ht="12.95" customHeight="1" x14ac:dyDescent="0.2">
      <c r="B11" s="358"/>
      <c r="C11" s="364"/>
      <c r="D11" s="34">
        <f>'PROYEKSI KONSUMSI'!E11</f>
        <v>2015</v>
      </c>
      <c r="E11" s="35">
        <f>'PROYEKSI KONSUMSI'!F11</f>
        <v>2014</v>
      </c>
      <c r="F11" s="35">
        <f>'PROYEKSI KONSUMSI'!G11</f>
        <v>2015</v>
      </c>
      <c r="G11" s="35">
        <f>'PROYEKSI KONSUMSI'!H11</f>
        <v>2016</v>
      </c>
      <c r="H11" s="35">
        <f>'PROYEKSI KONSUMSI'!I11</f>
        <v>2017</v>
      </c>
      <c r="I11" s="35">
        <f>'PROYEKSI KONSUMSI'!J11</f>
        <v>2018</v>
      </c>
      <c r="J11" s="35">
        <f>'PROYEKSI KONSUMSI'!K11</f>
        <v>2019</v>
      </c>
      <c r="K11" s="35">
        <f>'PROYEKSI KONSUMSI'!L11</f>
        <v>2020</v>
      </c>
      <c r="L11" s="30"/>
      <c r="M11" s="34">
        <f>'PROYEKSI KONSUMSI'!N11</f>
        <v>2015</v>
      </c>
      <c r="N11" s="35">
        <f>'PROYEKSI KONSUMSI'!O11</f>
        <v>2014</v>
      </c>
      <c r="O11" s="35">
        <f>'PROYEKSI KONSUMSI'!P11</f>
        <v>2015</v>
      </c>
      <c r="P11" s="35">
        <f>'PROYEKSI KONSUMSI'!Q11</f>
        <v>2016</v>
      </c>
      <c r="Q11" s="35">
        <f>'PROYEKSI KONSUMSI'!R11</f>
        <v>2017</v>
      </c>
      <c r="R11" s="35">
        <f>'PROYEKSI KONSUMSI'!S11</f>
        <v>2018</v>
      </c>
      <c r="S11" s="35">
        <f>'PROYEKSI KONSUMSI'!T11</f>
        <v>2019</v>
      </c>
      <c r="T11" s="35">
        <f>'PROYEKSI KONSUMSI'!U11</f>
        <v>2020</v>
      </c>
    </row>
    <row r="12" spans="2:20" ht="12.95" customHeight="1" outlineLevel="2" x14ac:dyDescent="0.2">
      <c r="B12" s="37"/>
      <c r="C12" s="38" t="str">
        <f>'PROYEKSI KONSUMSI'!C12</f>
        <v xml:space="preserve"> 1. Padi-Padian</v>
      </c>
      <c r="D12" s="398"/>
      <c r="E12" s="399"/>
      <c r="F12" s="399"/>
      <c r="G12" s="399"/>
      <c r="H12" s="399"/>
      <c r="I12" s="399"/>
      <c r="J12" s="399"/>
      <c r="K12" s="400"/>
      <c r="L12" s="39"/>
      <c r="M12" s="398"/>
      <c r="N12" s="399"/>
      <c r="O12" s="399"/>
      <c r="P12" s="399"/>
      <c r="Q12" s="399"/>
      <c r="R12" s="399"/>
      <c r="S12" s="399"/>
      <c r="T12" s="400"/>
    </row>
    <row r="13" spans="2:20" ht="12.95" customHeight="1" outlineLevel="2" x14ac:dyDescent="0.2">
      <c r="B13" s="41">
        <v>1</v>
      </c>
      <c r="C13" s="42" t="str">
        <f>'PROYEKSI KONSUMSI'!C13</f>
        <v xml:space="preserve">     Beras</v>
      </c>
      <c r="D13" s="43">
        <f>'PROYEKSI KONSUMSI'!W13*110%</f>
        <v>130.91085438779825</v>
      </c>
      <c r="E13" s="43">
        <f>'PROYEKSI KONSUMSI'!X13*110%</f>
        <v>137.8201696395206</v>
      </c>
      <c r="F13" s="43">
        <f>'PROYEKSI KONSUMSI'!Y13*110%</f>
        <v>130.91085438779825</v>
      </c>
      <c r="G13" s="43">
        <f>'PROYEKSI KONSUMSI'!Z13*110%</f>
        <v>124.00153913607591</v>
      </c>
      <c r="H13" s="43">
        <f>'PROYEKSI KONSUMSI'!AA13*110%</f>
        <v>117.09222388435354</v>
      </c>
      <c r="I13" s="43">
        <f>'PROYEKSI KONSUMSI'!AB13*110%</f>
        <v>110.1829086326312</v>
      </c>
      <c r="J13" s="43">
        <f>'PROYEKSI KONSUMSI'!AC13*110%</f>
        <v>103.27359338090884</v>
      </c>
      <c r="K13" s="43">
        <f>'PROYEKSI KONSUMSI'!AD13*110%</f>
        <v>96.364278129186488</v>
      </c>
      <c r="L13" s="40"/>
      <c r="M13" s="46">
        <f t="shared" ref="M13:T16" si="0">D13*M$63/1000</f>
        <v>58934.233893425342</v>
      </c>
      <c r="N13" s="46">
        <f t="shared" si="0"/>
        <v>61533.978864759723</v>
      </c>
      <c r="O13" s="46">
        <f t="shared" si="0"/>
        <v>58934.233893425342</v>
      </c>
      <c r="P13" s="46">
        <f t="shared" si="0"/>
        <v>56287.094079762821</v>
      </c>
      <c r="Q13" s="46">
        <f t="shared" si="0"/>
        <v>53591.951765820595</v>
      </c>
      <c r="R13" s="46">
        <f t="shared" si="0"/>
        <v>50848.192471555762</v>
      </c>
      <c r="S13" s="46">
        <f t="shared" si="0"/>
        <v>48055.194823448983</v>
      </c>
      <c r="T13" s="46">
        <f t="shared" si="0"/>
        <v>45212.330482404279</v>
      </c>
    </row>
    <row r="14" spans="2:20" ht="12.95" customHeight="1" outlineLevel="2" x14ac:dyDescent="0.2">
      <c r="B14" s="41">
        <v>2</v>
      </c>
      <c r="C14" s="37" t="str">
        <f>'PROYEKSI KONSUMSI'!C14</f>
        <v xml:space="preserve">     Jagung</v>
      </c>
      <c r="D14" s="43">
        <f>'PROYEKSI KONSUMSI'!W14*110%</f>
        <v>0.23364929465543591</v>
      </c>
      <c r="E14" s="43">
        <f>'PROYEKSI KONSUMSI'!X14*110%</f>
        <v>0.24598101949724888</v>
      </c>
      <c r="F14" s="43">
        <f>'PROYEKSI KONSUMSI'!Y14*110%</f>
        <v>0.23364929465543591</v>
      </c>
      <c r="G14" s="43">
        <f>'PROYEKSI KONSUMSI'!Z14*110%</f>
        <v>0.22131756981362294</v>
      </c>
      <c r="H14" s="43">
        <f>'PROYEKSI KONSUMSI'!AA14*110%</f>
        <v>0.20898584497180994</v>
      </c>
      <c r="I14" s="43">
        <f>'PROYEKSI KONSUMSI'!AB14*110%</f>
        <v>0.19665412012999697</v>
      </c>
      <c r="J14" s="43">
        <f>'PROYEKSI KONSUMSI'!AC14*110%</f>
        <v>0.18432239528818403</v>
      </c>
      <c r="K14" s="43">
        <f>'PROYEKSI KONSUMSI'!AD14*110%</f>
        <v>0.17199067044637104</v>
      </c>
      <c r="L14" s="30"/>
      <c r="M14" s="46">
        <f t="shared" si="0"/>
        <v>105.18564136375207</v>
      </c>
      <c r="N14" s="46">
        <f t="shared" si="0"/>
        <v>109.82565827966724</v>
      </c>
      <c r="O14" s="46">
        <f t="shared" si="0"/>
        <v>105.18564136375207</v>
      </c>
      <c r="P14" s="46">
        <f t="shared" si="0"/>
        <v>100.46103427743381</v>
      </c>
      <c r="Q14" s="46">
        <f t="shared" si="0"/>
        <v>95.65075247464911</v>
      </c>
      <c r="R14" s="46">
        <f t="shared" si="0"/>
        <v>90.753699233286838</v>
      </c>
      <c r="S14" s="46">
        <f t="shared" si="0"/>
        <v>85.768765527779962</v>
      </c>
      <c r="T14" s="46">
        <f t="shared" si="0"/>
        <v>80.694829900421482</v>
      </c>
    </row>
    <row r="15" spans="2:20" ht="12.95" customHeight="1" outlineLevel="2" x14ac:dyDescent="0.2">
      <c r="B15" s="41">
        <v>3</v>
      </c>
      <c r="C15" s="37" t="str">
        <f>'PROYEKSI KONSUMSI'!C15</f>
        <v xml:space="preserve">     Terigu</v>
      </c>
      <c r="D15" s="43">
        <f>'PROYEKSI KONSUMSI'!W15*110%</f>
        <v>18.850857572838457</v>
      </c>
      <c r="E15" s="43">
        <f>'PROYEKSI KONSUMSI'!X15*110%</f>
        <v>19.845782847332718</v>
      </c>
      <c r="F15" s="43">
        <f>'PROYEKSI KONSUMSI'!Y15*110%</f>
        <v>18.850857572838457</v>
      </c>
      <c r="G15" s="43">
        <f>'PROYEKSI KONSUMSI'!Z15*110%</f>
        <v>17.8559322983442</v>
      </c>
      <c r="H15" s="43">
        <f>'PROYEKSI KONSUMSI'!AA15*110%</f>
        <v>16.861007023849936</v>
      </c>
      <c r="I15" s="43">
        <f>'PROYEKSI KONSUMSI'!AB15*110%</f>
        <v>15.866081749355674</v>
      </c>
      <c r="J15" s="43">
        <f>'PROYEKSI KONSUMSI'!AC15*110%</f>
        <v>14.871156474861408</v>
      </c>
      <c r="K15" s="43">
        <f>'PROYEKSI KONSUMSI'!AD15*110%</f>
        <v>13.876231200367151</v>
      </c>
      <c r="L15" s="40"/>
      <c r="M15" s="46">
        <f t="shared" si="0"/>
        <v>8486.3921672858542</v>
      </c>
      <c r="N15" s="46">
        <f>E15*N$63/1000</f>
        <v>8860.7493770795663</v>
      </c>
      <c r="O15" s="46">
        <f t="shared" si="0"/>
        <v>8486.3921672858542</v>
      </c>
      <c r="P15" s="46">
        <f t="shared" si="0"/>
        <v>8105.2102107849796</v>
      </c>
      <c r="Q15" s="46">
        <f t="shared" si="0"/>
        <v>7717.1160062497838</v>
      </c>
      <c r="R15" s="46">
        <f t="shared" si="0"/>
        <v>7322.0210699878835</v>
      </c>
      <c r="S15" s="46">
        <f t="shared" si="0"/>
        <v>6919.8359256623635</v>
      </c>
      <c r="T15" s="46">
        <f t="shared" si="0"/>
        <v>6510.4700939095328</v>
      </c>
    </row>
    <row r="16" spans="2:20" ht="12.95" customHeight="1" outlineLevel="1" x14ac:dyDescent="0.2">
      <c r="B16" s="49"/>
      <c r="C16" s="49" t="str">
        <f>'PROYEKSI KONSUMSI'!C16</f>
        <v xml:space="preserve">     Subtotal Padi-padian</v>
      </c>
      <c r="D16" s="43">
        <f>'PROYEKSI KONSUMSI'!W16*110%</f>
        <v>149.9953612552921</v>
      </c>
      <c r="E16" s="43">
        <f>'PROYEKSI KONSUMSI'!X16*110%</f>
        <v>157.91193350635055</v>
      </c>
      <c r="F16" s="43">
        <f>'PROYEKSI KONSUMSI'!Y16*110%</f>
        <v>149.9953612552921</v>
      </c>
      <c r="G16" s="43">
        <f>'PROYEKSI KONSUMSI'!Z16*110%</f>
        <v>142.07878900423373</v>
      </c>
      <c r="H16" s="43">
        <f>'PROYEKSI KONSUMSI'!AA16*110%</f>
        <v>134.16221675317527</v>
      </c>
      <c r="I16" s="43">
        <f>'PROYEKSI KONSUMSI'!AB16*110%</f>
        <v>126.24564450211686</v>
      </c>
      <c r="J16" s="43">
        <f>'PROYEKSI KONSUMSI'!AC16*110%</f>
        <v>118.32907225105841</v>
      </c>
      <c r="K16" s="43">
        <f>'PROYEKSI KONSUMSI'!AD16*110%</f>
        <v>110.41250000000001</v>
      </c>
      <c r="L16" s="40"/>
      <c r="M16" s="46">
        <f t="shared" si="0"/>
        <v>67525.811702074934</v>
      </c>
      <c r="N16" s="46">
        <f t="shared" si="0"/>
        <v>70504.553900118946</v>
      </c>
      <c r="O16" s="46">
        <f t="shared" si="0"/>
        <v>67525.811702074934</v>
      </c>
      <c r="P16" s="46">
        <f t="shared" si="0"/>
        <v>64492.765324825239</v>
      </c>
      <c r="Q16" s="46">
        <f t="shared" si="0"/>
        <v>61404.718524545016</v>
      </c>
      <c r="R16" s="46">
        <f t="shared" si="0"/>
        <v>58260.967240776932</v>
      </c>
      <c r="S16" s="46">
        <f t="shared" si="0"/>
        <v>55060.799514639126</v>
      </c>
      <c r="T16" s="46">
        <f t="shared" si="0"/>
        <v>51803.495406214228</v>
      </c>
    </row>
    <row r="17" spans="2:20" ht="12.95" customHeight="1" outlineLevel="2" x14ac:dyDescent="0.2">
      <c r="B17" s="37"/>
      <c r="C17" s="50" t="str">
        <f>'PROYEKSI KONSUMSI'!C17</f>
        <v xml:space="preserve"> 2. Umbi-umbian</v>
      </c>
      <c r="D17" s="51"/>
      <c r="E17" s="52"/>
      <c r="F17" s="52"/>
      <c r="G17" s="52"/>
      <c r="H17" s="52"/>
      <c r="I17" s="52"/>
      <c r="J17" s="52"/>
      <c r="K17" s="53"/>
      <c r="L17" s="40"/>
      <c r="M17" s="54"/>
      <c r="N17" s="55"/>
      <c r="O17" s="55"/>
      <c r="P17" s="55"/>
      <c r="Q17" s="55"/>
      <c r="R17" s="55"/>
      <c r="S17" s="55"/>
      <c r="T17" s="56"/>
    </row>
    <row r="18" spans="2:20" ht="12.95" customHeight="1" outlineLevel="2" x14ac:dyDescent="0.2">
      <c r="B18" s="41">
        <v>4</v>
      </c>
      <c r="C18" s="37" t="str">
        <f>'PROYEKSI KONSUMSI'!C18</f>
        <v xml:space="preserve">     Singkong</v>
      </c>
      <c r="D18" s="43">
        <f>'PROYEKSI KONSUMSI'!W18*110%</f>
        <v>1.0020024429712915</v>
      </c>
      <c r="E18" s="43">
        <f>'PROYEKSI KONSUMSI'!X18*110%</f>
        <v>0.39565435977247893</v>
      </c>
      <c r="F18" s="43">
        <f>'PROYEKSI KONSUMSI'!Y18*110%</f>
        <v>1.0020024429712915</v>
      </c>
      <c r="G18" s="43">
        <f>'PROYEKSI KONSUMSI'!Z18*110%</f>
        <v>1.6083505261701041</v>
      </c>
      <c r="H18" s="43">
        <f>'PROYEKSI KONSUMSI'!AA18*110%</f>
        <v>2.2146986093689165</v>
      </c>
      <c r="I18" s="43">
        <f>'PROYEKSI KONSUMSI'!AB18*110%</f>
        <v>2.8210466925677289</v>
      </c>
      <c r="J18" s="43">
        <f>'PROYEKSI KONSUMSI'!AC18*110%</f>
        <v>3.4273947757665417</v>
      </c>
      <c r="K18" s="43">
        <f>'PROYEKSI KONSUMSI'!AD18*110%</f>
        <v>4.0337428589653541</v>
      </c>
      <c r="L18" s="40"/>
      <c r="M18" s="46">
        <f t="shared" ref="M18:T23" si="1">D18*M$63/1000</f>
        <v>451.08747179147377</v>
      </c>
      <c r="N18" s="46">
        <f t="shared" si="1"/>
        <v>176.65184330906794</v>
      </c>
      <c r="O18" s="46">
        <f t="shared" si="1"/>
        <v>451.08747179147377</v>
      </c>
      <c r="P18" s="46">
        <f t="shared" si="1"/>
        <v>730.06656216120211</v>
      </c>
      <c r="Q18" s="46">
        <f t="shared" si="1"/>
        <v>1013.6456300151361</v>
      </c>
      <c r="R18" s="46">
        <f t="shared" si="1"/>
        <v>1301.8818161099782</v>
      </c>
      <c r="S18" s="46">
        <f t="shared" si="1"/>
        <v>1594.8328928465428</v>
      </c>
      <c r="T18" s="46">
        <f t="shared" si="1"/>
        <v>1892.5572708186226</v>
      </c>
    </row>
    <row r="19" spans="2:20" ht="12.95" customHeight="1" outlineLevel="2" x14ac:dyDescent="0.2">
      <c r="B19" s="41">
        <v>5</v>
      </c>
      <c r="C19" s="37" t="str">
        <f>'PROYEKSI KONSUMSI'!C19</f>
        <v xml:space="preserve">     Ubi Jalar</v>
      </c>
      <c r="D19" s="43">
        <f>'PROYEKSI KONSUMSI'!W19*110%</f>
        <v>1.0414624626432956</v>
      </c>
      <c r="E19" s="43">
        <f>'PROYEKSI KONSUMSI'!X19*110%</f>
        <v>0.41123568787147985</v>
      </c>
      <c r="F19" s="43">
        <f>'PROYEKSI KONSUMSI'!Y19*110%</f>
        <v>1.0414624626432956</v>
      </c>
      <c r="G19" s="43">
        <f>'PROYEKSI KONSUMSI'!Z19*110%</f>
        <v>1.6716892374151111</v>
      </c>
      <c r="H19" s="43">
        <f>'PROYEKSI KONSUMSI'!AA19*110%</f>
        <v>2.301916012186926</v>
      </c>
      <c r="I19" s="43">
        <f>'PROYEKSI KONSUMSI'!AB19*110%</f>
        <v>2.932142786958742</v>
      </c>
      <c r="J19" s="43">
        <f>'PROYEKSI KONSUMSI'!AC19*110%</f>
        <v>3.5623695617305571</v>
      </c>
      <c r="K19" s="43">
        <f>'PROYEKSI KONSUMSI'!AD19*110%</f>
        <v>4.1925963365023726</v>
      </c>
      <c r="L19" s="40"/>
      <c r="M19" s="46">
        <f t="shared" si="1"/>
        <v>468.85182020753467</v>
      </c>
      <c r="N19" s="46">
        <f t="shared" si="1"/>
        <v>183.60859801657247</v>
      </c>
      <c r="O19" s="46">
        <f t="shared" si="1"/>
        <v>468.85182020753467</v>
      </c>
      <c r="P19" s="46">
        <f t="shared" si="1"/>
        <v>758.81743109054935</v>
      </c>
      <c r="Q19" s="46">
        <f t="shared" si="1"/>
        <v>1053.5641719123275</v>
      </c>
      <c r="R19" s="46">
        <f t="shared" si="1"/>
        <v>1353.1514336989203</v>
      </c>
      <c r="S19" s="46">
        <f t="shared" si="1"/>
        <v>1657.6392639953669</v>
      </c>
      <c r="T19" s="46">
        <f t="shared" si="1"/>
        <v>1967.088373672467</v>
      </c>
    </row>
    <row r="20" spans="2:20" ht="12.95" customHeight="1" outlineLevel="2" x14ac:dyDescent="0.2">
      <c r="B20" s="41">
        <v>6</v>
      </c>
      <c r="C20" s="37" t="str">
        <f>'PROYEKSI KONSUMSI'!C20</f>
        <v xml:space="preserve">     Sagu</v>
      </c>
      <c r="D20" s="43">
        <f>'PROYEKSI KONSUMSI'!W20*110%</f>
        <v>7.7448619298732213</v>
      </c>
      <c r="E20" s="43">
        <f>'PROYEKSI KONSUMSI'!X20*110%</f>
        <v>3.0581645882055302</v>
      </c>
      <c r="F20" s="43">
        <f>'PROYEKSI KONSUMSI'!Y20*110%</f>
        <v>7.7448619298732186</v>
      </c>
      <c r="G20" s="43">
        <f>'PROYEKSI KONSUMSI'!Z20*110%</f>
        <v>12.431559271540909</v>
      </c>
      <c r="H20" s="43">
        <f>'PROYEKSI KONSUMSI'!AA20*110%</f>
        <v>17.118256613208601</v>
      </c>
      <c r="I20" s="43">
        <f>'PROYEKSI KONSUMSI'!AB20*110%</f>
        <v>21.804953954876282</v>
      </c>
      <c r="J20" s="43">
        <f>'PROYEKSI KONSUMSI'!AC20*110%</f>
        <v>26.491651296543978</v>
      </c>
      <c r="K20" s="43">
        <f>'PROYEKSI KONSUMSI'!AD20*110%</f>
        <v>31.17834863821167</v>
      </c>
      <c r="L20" s="40"/>
      <c r="M20" s="46">
        <f t="shared" si="1"/>
        <v>3486.628412761906</v>
      </c>
      <c r="N20" s="46">
        <f t="shared" si="1"/>
        <v>1365.4099804680102</v>
      </c>
      <c r="O20" s="46">
        <f t="shared" si="1"/>
        <v>3486.6284127619047</v>
      </c>
      <c r="P20" s="46">
        <f t="shared" si="1"/>
        <v>5642.9650079383246</v>
      </c>
      <c r="Q20" s="46">
        <f t="shared" si="1"/>
        <v>7834.8565967633176</v>
      </c>
      <c r="R20" s="46">
        <f t="shared" si="1"/>
        <v>10062.744842103404</v>
      </c>
      <c r="S20" s="46">
        <f t="shared" si="1"/>
        <v>12327.076289045192</v>
      </c>
      <c r="T20" s="46">
        <f t="shared" si="1"/>
        <v>14628.302415514039</v>
      </c>
    </row>
    <row r="21" spans="2:20" ht="12.95" customHeight="1" outlineLevel="2" x14ac:dyDescent="0.2">
      <c r="B21" s="41">
        <v>7</v>
      </c>
      <c r="C21" s="37" t="str">
        <f>'PROYEKSI KONSUMSI'!C21</f>
        <v xml:space="preserve">     Kentang</v>
      </c>
      <c r="D21" s="43">
        <f>'PROYEKSI KONSUMSI'!W21*110%</f>
        <v>0</v>
      </c>
      <c r="E21" s="43">
        <f>'PROYEKSI KONSUMSI'!X21*110%</f>
        <v>0</v>
      </c>
      <c r="F21" s="43">
        <f>'PROYEKSI KONSUMSI'!Y21*110%</f>
        <v>0</v>
      </c>
      <c r="G21" s="43">
        <f>'PROYEKSI KONSUMSI'!Z21*110%</f>
        <v>0</v>
      </c>
      <c r="H21" s="43">
        <f>'PROYEKSI KONSUMSI'!AA21*110%</f>
        <v>0</v>
      </c>
      <c r="I21" s="43">
        <f>'PROYEKSI KONSUMSI'!AB21*110%</f>
        <v>0</v>
      </c>
      <c r="J21" s="43">
        <f>'PROYEKSI KONSUMSI'!AC21*110%</f>
        <v>0</v>
      </c>
      <c r="K21" s="43">
        <f>'PROYEKSI KONSUMSI'!AD21*110%</f>
        <v>0</v>
      </c>
      <c r="L21" s="40"/>
      <c r="M21" s="46">
        <f t="shared" si="1"/>
        <v>0</v>
      </c>
      <c r="N21" s="46">
        <f t="shared" si="1"/>
        <v>0</v>
      </c>
      <c r="O21" s="46">
        <f t="shared" si="1"/>
        <v>0</v>
      </c>
      <c r="P21" s="46">
        <f t="shared" si="1"/>
        <v>0</v>
      </c>
      <c r="Q21" s="46">
        <f t="shared" si="1"/>
        <v>0</v>
      </c>
      <c r="R21" s="46">
        <f t="shared" si="1"/>
        <v>0</v>
      </c>
      <c r="S21" s="46">
        <f t="shared" si="1"/>
        <v>0</v>
      </c>
      <c r="T21" s="46">
        <f t="shared" si="1"/>
        <v>0</v>
      </c>
    </row>
    <row r="22" spans="2:20" ht="12.95" customHeight="1" outlineLevel="2" x14ac:dyDescent="0.2">
      <c r="B22" s="41">
        <v>8</v>
      </c>
      <c r="C22" s="37" t="str">
        <f>'PROYEKSI KONSUMSI'!C22</f>
        <v xml:space="preserve">     Umbi Lainnya</v>
      </c>
      <c r="D22" s="43">
        <f>'PROYEKSI KONSUMSI'!W22*110%</f>
        <v>0.1851393699451189</v>
      </c>
      <c r="E22" s="43">
        <f>'PROYEKSI KONSUMSI'!X22*110%</f>
        <v>7.3104810670022363E-2</v>
      </c>
      <c r="F22" s="43">
        <f>'PROYEKSI KONSUMSI'!Y22*110%</f>
        <v>0.1851393699451189</v>
      </c>
      <c r="G22" s="43">
        <f>'PROYEKSI KONSUMSI'!Z22*110%</f>
        <v>0.29717392922021552</v>
      </c>
      <c r="H22" s="43">
        <f>'PROYEKSI KONSUMSI'!AA22*110%</f>
        <v>0.40920848849531199</v>
      </c>
      <c r="I22" s="43">
        <f>'PROYEKSI KONSUMSI'!AB22*110%</f>
        <v>0.52124304777040853</v>
      </c>
      <c r="J22" s="43">
        <f>'PROYEKSI KONSUMSI'!AC22*110%</f>
        <v>0.63327760704550495</v>
      </c>
      <c r="K22" s="43">
        <f>'PROYEKSI KONSUMSI'!AD22*110%</f>
        <v>0.74531216632060149</v>
      </c>
      <c r="L22" s="40"/>
      <c r="M22" s="46">
        <f t="shared" si="1"/>
        <v>83.347152398113295</v>
      </c>
      <c r="N22" s="46">
        <f t="shared" si="1"/>
        <v>32.639851528607252</v>
      </c>
      <c r="O22" s="46">
        <f t="shared" si="1"/>
        <v>83.347152398113295</v>
      </c>
      <c r="P22" s="46">
        <f t="shared" si="1"/>
        <v>134.89394590268139</v>
      </c>
      <c r="Q22" s="46">
        <f t="shared" si="1"/>
        <v>187.2906743940965</v>
      </c>
      <c r="R22" s="46">
        <f t="shared" si="1"/>
        <v>240.54789573453593</v>
      </c>
      <c r="S22" s="46">
        <f t="shared" si="1"/>
        <v>294.67628449466758</v>
      </c>
      <c r="T22" s="46">
        <f t="shared" si="1"/>
        <v>349.68663316368031</v>
      </c>
    </row>
    <row r="23" spans="2:20" ht="12.95" customHeight="1" outlineLevel="1" x14ac:dyDescent="0.2">
      <c r="B23" s="49"/>
      <c r="C23" s="49" t="str">
        <f>'PROYEKSI KONSUMSI'!C23</f>
        <v xml:space="preserve">     Subtotal Umbi-umbian</v>
      </c>
      <c r="D23" s="43">
        <f>'PROYEKSI KONSUMSI'!W23*110%</f>
        <v>9.9734662054329277</v>
      </c>
      <c r="E23" s="43">
        <f>'PROYEKSI KONSUMSI'!X23*110%</f>
        <v>3.9381594465195113</v>
      </c>
      <c r="F23" s="43">
        <f>'PROYEKSI KONSUMSI'!Y23*110%</f>
        <v>9.9734662054329277</v>
      </c>
      <c r="G23" s="43">
        <f>'PROYEKSI KONSUMSI'!Z23*110%</f>
        <v>16.008772964346342</v>
      </c>
      <c r="H23" s="43">
        <f>'PROYEKSI KONSUMSI'!AA23*110%</f>
        <v>22.044079723259756</v>
      </c>
      <c r="I23" s="43">
        <f>'PROYEKSI KONSUMSI'!AB23*110%</f>
        <v>28.079386482173174</v>
      </c>
      <c r="J23" s="43">
        <f>'PROYEKSI KONSUMSI'!AC23*110%</f>
        <v>34.114693241086584</v>
      </c>
      <c r="K23" s="43">
        <f>'PROYEKSI KONSUMSI'!AD23*110%</f>
        <v>40.150000000000006</v>
      </c>
      <c r="L23" s="40"/>
      <c r="M23" s="46">
        <f t="shared" si="1"/>
        <v>4489.9148571590276</v>
      </c>
      <c r="N23" s="46">
        <f t="shared" si="1"/>
        <v>1758.3102733222581</v>
      </c>
      <c r="O23" s="46">
        <f t="shared" si="1"/>
        <v>4489.9148571590276</v>
      </c>
      <c r="P23" s="46">
        <f t="shared" si="1"/>
        <v>7266.7429470927573</v>
      </c>
      <c r="Q23" s="46">
        <f t="shared" si="1"/>
        <v>10089.357073084877</v>
      </c>
      <c r="R23" s="46">
        <f t="shared" si="1"/>
        <v>12958.325987646844</v>
      </c>
      <c r="S23" s="46">
        <f t="shared" si="1"/>
        <v>15874.224730381769</v>
      </c>
      <c r="T23" s="46">
        <f t="shared" si="1"/>
        <v>18837.634693168813</v>
      </c>
    </row>
    <row r="24" spans="2:20" ht="12.95" customHeight="1" outlineLevel="2" x14ac:dyDescent="0.2">
      <c r="B24" s="37"/>
      <c r="C24" s="50" t="str">
        <f>'PROYEKSI KONSUMSI'!C24</f>
        <v xml:space="preserve"> 3. Pangan Hewani</v>
      </c>
      <c r="D24" s="51"/>
      <c r="E24" s="52"/>
      <c r="F24" s="52"/>
      <c r="G24" s="52"/>
      <c r="H24" s="52"/>
      <c r="I24" s="52"/>
      <c r="J24" s="52"/>
      <c r="K24" s="53"/>
      <c r="L24" s="40"/>
      <c r="M24" s="54"/>
      <c r="N24" s="55"/>
      <c r="O24" s="55"/>
      <c r="P24" s="55"/>
      <c r="Q24" s="55"/>
      <c r="R24" s="55"/>
      <c r="S24" s="55"/>
      <c r="T24" s="56"/>
    </row>
    <row r="25" spans="2:20" ht="12.95" customHeight="1" outlineLevel="2" x14ac:dyDescent="0.2">
      <c r="B25" s="41">
        <v>9</v>
      </c>
      <c r="C25" s="37" t="str">
        <f>'PROYEKSI KONSUMSI'!C25</f>
        <v xml:space="preserve">     Daging Ruminansia</v>
      </c>
      <c r="D25" s="43">
        <f>'PROYEKSI KONSUMSI'!W25*110%</f>
        <v>0.35803491721192238</v>
      </c>
      <c r="E25" s="43">
        <f>'PROYEKSI KONSUMSI'!X25*110%</f>
        <v>0.39432933842190626</v>
      </c>
      <c r="F25" s="43">
        <f>'PROYEKSI KONSUMSI'!Y25*110%</f>
        <v>0.35803491721192238</v>
      </c>
      <c r="G25" s="43">
        <f>'PROYEKSI KONSUMSI'!Z25*110%</f>
        <v>0.32174049600193833</v>
      </c>
      <c r="H25" s="43">
        <f>'PROYEKSI KONSUMSI'!AA25*110%</f>
        <v>0.28544607479195439</v>
      </c>
      <c r="I25" s="43">
        <f>'PROYEKSI KONSUMSI'!AB25*110%</f>
        <v>0.24915165358197039</v>
      </c>
      <c r="J25" s="43">
        <f>'PROYEKSI KONSUMSI'!AC25*110%</f>
        <v>0.21285723237198639</v>
      </c>
      <c r="K25" s="43">
        <f>'PROYEKSI KONSUMSI'!AD25*110%</f>
        <v>0.17656281116200234</v>
      </c>
      <c r="L25" s="40"/>
      <c r="M25" s="46">
        <f t="shared" ref="M25:T30" si="2">D25*M$63/1000</f>
        <v>161.18230723996649</v>
      </c>
      <c r="N25" s="46">
        <f t="shared" si="2"/>
        <v>176.06024749261559</v>
      </c>
      <c r="O25" s="46">
        <f t="shared" si="2"/>
        <v>161.18230723996649</v>
      </c>
      <c r="P25" s="46">
        <f t="shared" si="2"/>
        <v>146.04526438867356</v>
      </c>
      <c r="Q25" s="46">
        <f t="shared" si="2"/>
        <v>130.64584277690349</v>
      </c>
      <c r="R25" s="46">
        <f t="shared" si="2"/>
        <v>114.98072970811425</v>
      </c>
      <c r="S25" s="46">
        <f t="shared" si="2"/>
        <v>99.046575570274214</v>
      </c>
      <c r="T25" s="46">
        <f t="shared" si="2"/>
        <v>82.839993451276428</v>
      </c>
    </row>
    <row r="26" spans="2:20" ht="12.95" customHeight="1" outlineLevel="2" x14ac:dyDescent="0.2">
      <c r="B26" s="41">
        <v>10</v>
      </c>
      <c r="C26" s="37" t="str">
        <f>'PROYEKSI KONSUMSI'!C26</f>
        <v xml:space="preserve">     Daging Unggas</v>
      </c>
      <c r="D26" s="43">
        <f>'PROYEKSI KONSUMSI'!W26*110%</f>
        <v>4.4843245032779029</v>
      </c>
      <c r="E26" s="43">
        <f>'PROYEKSI KONSUMSI'!X26*110%</f>
        <v>4.9389057592951326</v>
      </c>
      <c r="F26" s="43">
        <f>'PROYEKSI KONSUMSI'!Y26*110%</f>
        <v>4.4843245032779029</v>
      </c>
      <c r="G26" s="43">
        <f>'PROYEKSI KONSUMSI'!Z26*110%</f>
        <v>4.0297432472606731</v>
      </c>
      <c r="H26" s="43">
        <f>'PROYEKSI KONSUMSI'!AA26*110%</f>
        <v>3.5751619912434438</v>
      </c>
      <c r="I26" s="43">
        <f>'PROYEKSI KONSUMSI'!AB26*110%</f>
        <v>3.1205807352262145</v>
      </c>
      <c r="J26" s="43">
        <f>'PROYEKSI KONSUMSI'!AC26*110%</f>
        <v>2.6659994792089852</v>
      </c>
      <c r="K26" s="43">
        <f>'PROYEKSI KONSUMSI'!AD26*110%</f>
        <v>2.2114182231917554</v>
      </c>
      <c r="L26" s="40"/>
      <c r="M26" s="46">
        <f t="shared" si="2"/>
        <v>2018.780110832666</v>
      </c>
      <c r="N26" s="46">
        <f t="shared" si="2"/>
        <v>2205.1237014321518</v>
      </c>
      <c r="O26" s="46">
        <f t="shared" si="2"/>
        <v>2018.780110832666</v>
      </c>
      <c r="P26" s="46">
        <f t="shared" si="2"/>
        <v>1829.1913056574372</v>
      </c>
      <c r="Q26" s="46">
        <f t="shared" si="2"/>
        <v>1636.3162525544644</v>
      </c>
      <c r="R26" s="46">
        <f t="shared" si="2"/>
        <v>1440.1134605809357</v>
      </c>
      <c r="S26" s="46">
        <f t="shared" si="2"/>
        <v>1240.5409764340077</v>
      </c>
      <c r="T26" s="46">
        <f t="shared" si="2"/>
        <v>1037.5563796339413</v>
      </c>
    </row>
    <row r="27" spans="2:20" ht="12.95" customHeight="1" outlineLevel="2" x14ac:dyDescent="0.2">
      <c r="B27" s="41">
        <v>11</v>
      </c>
      <c r="C27" s="37" t="str">
        <f>'PROYEKSI KONSUMSI'!C27</f>
        <v xml:space="preserve">     Telur</v>
      </c>
      <c r="D27" s="43">
        <f>'PROYEKSI KONSUMSI'!W27*110%</f>
        <v>83.454047791901829</v>
      </c>
      <c r="E27" s="43">
        <f>'PROYEKSI KONSUMSI'!X27*110%</f>
        <v>91.91388289911454</v>
      </c>
      <c r="F27" s="43">
        <f>'PROYEKSI KONSUMSI'!Y27*110%</f>
        <v>83.454047791901814</v>
      </c>
      <c r="G27" s="43">
        <f>'PROYEKSI KONSUMSI'!Z27*110%</f>
        <v>74.994212684689131</v>
      </c>
      <c r="H27" s="43">
        <f>'PROYEKSI KONSUMSI'!AA27*110%</f>
        <v>66.534377577476391</v>
      </c>
      <c r="I27" s="43">
        <f>'PROYEKSI KONSUMSI'!AB27*110%</f>
        <v>58.074542470263687</v>
      </c>
      <c r="J27" s="43">
        <f>'PROYEKSI KONSUMSI'!AC27*110%</f>
        <v>49.614707363050961</v>
      </c>
      <c r="K27" s="43">
        <f>'PROYEKSI KONSUMSI'!AD27*110%</f>
        <v>41.154872255838235</v>
      </c>
      <c r="L27" s="40"/>
      <c r="M27" s="46">
        <f t="shared" si="2"/>
        <v>37569.843959245118</v>
      </c>
      <c r="N27" s="46">
        <f t="shared" si="2"/>
        <v>41037.730126768605</v>
      </c>
      <c r="O27" s="46">
        <f t="shared" si="2"/>
        <v>37569.84395924511</v>
      </c>
      <c r="P27" s="46">
        <f t="shared" si="2"/>
        <v>34041.563792112313</v>
      </c>
      <c r="Q27" s="46">
        <f t="shared" si="2"/>
        <v>30452.125987654741</v>
      </c>
      <c r="R27" s="46">
        <f t="shared" si="2"/>
        <v>26800.75839231355</v>
      </c>
      <c r="S27" s="46">
        <f t="shared" si="2"/>
        <v>23086.680247930391</v>
      </c>
      <c r="T27" s="46">
        <f t="shared" si="2"/>
        <v>19309.102102104829</v>
      </c>
    </row>
    <row r="28" spans="2:20" ht="12.95" customHeight="1" outlineLevel="2" x14ac:dyDescent="0.2">
      <c r="B28" s="41">
        <v>12</v>
      </c>
      <c r="C28" s="37" t="str">
        <f>'PROYEKSI KONSUMSI'!C28</f>
        <v xml:space="preserve">     Susu</v>
      </c>
      <c r="D28" s="43">
        <f>'PROYEKSI KONSUMSI'!W28*110%</f>
        <v>0.99996398345117243</v>
      </c>
      <c r="E28" s="43">
        <f>'PROYEKSI KONSUMSI'!X28*110%</f>
        <v>1.1013315100958105</v>
      </c>
      <c r="F28" s="43">
        <f>'PROYEKSI KONSUMSI'!Y28*110%</f>
        <v>0.99996398345117243</v>
      </c>
      <c r="G28" s="43">
        <f>'PROYEKSI KONSUMSI'!Z28*110%</f>
        <v>0.89859645680653433</v>
      </c>
      <c r="H28" s="43">
        <f>'PROYEKSI KONSUMSI'!AA28*110%</f>
        <v>0.79722893016189633</v>
      </c>
      <c r="I28" s="43">
        <f>'PROYEKSI KONSUMSI'!AB28*110%</f>
        <v>0.69586140351725834</v>
      </c>
      <c r="J28" s="43">
        <f>'PROYEKSI KONSUMSI'!AC28*110%</f>
        <v>0.59449387687262034</v>
      </c>
      <c r="K28" s="43">
        <f>'PROYEKSI KONSUMSI'!AD28*110%</f>
        <v>0.49312635022798224</v>
      </c>
      <c r="L28" s="40"/>
      <c r="M28" s="46">
        <f t="shared" si="2"/>
        <v>450.16978585394952</v>
      </c>
      <c r="N28" s="46">
        <f t="shared" si="2"/>
        <v>491.72272855696974</v>
      </c>
      <c r="O28" s="46">
        <f t="shared" si="2"/>
        <v>450.16978585394952</v>
      </c>
      <c r="P28" s="46">
        <f t="shared" si="2"/>
        <v>407.89318952328887</v>
      </c>
      <c r="Q28" s="46">
        <f t="shared" si="2"/>
        <v>364.88378949699182</v>
      </c>
      <c r="R28" s="46">
        <f t="shared" si="2"/>
        <v>321.13233366843207</v>
      </c>
      <c r="S28" s="46">
        <f t="shared" si="2"/>
        <v>276.62946682885968</v>
      </c>
      <c r="T28" s="46">
        <f t="shared" si="2"/>
        <v>231.36572959328396</v>
      </c>
    </row>
    <row r="29" spans="2:20" ht="12.95" customHeight="1" outlineLevel="2" x14ac:dyDescent="0.2">
      <c r="B29" s="41">
        <v>13</v>
      </c>
      <c r="C29" s="37" t="str">
        <f>'PROYEKSI KONSUMSI'!C29</f>
        <v xml:space="preserve">     Ikan</v>
      </c>
      <c r="D29" s="43">
        <f>'PROYEKSI KONSUMSI'!W29*110%</f>
        <v>32.828173305793818</v>
      </c>
      <c r="E29" s="43">
        <f>'PROYEKSI KONSUMSI'!X29*110%</f>
        <v>36.156003895036562</v>
      </c>
      <c r="F29" s="43">
        <f>'PROYEKSI KONSUMSI'!Y29*110%</f>
        <v>32.828173305793811</v>
      </c>
      <c r="G29" s="43">
        <f>'PROYEKSI KONSUMSI'!Z29*110%</f>
        <v>29.500342716551053</v>
      </c>
      <c r="H29" s="43">
        <f>'PROYEKSI KONSUMSI'!AA29*110%</f>
        <v>26.172512127308295</v>
      </c>
      <c r="I29" s="43">
        <f>'PROYEKSI KONSUMSI'!AB29*110%</f>
        <v>22.844681538065544</v>
      </c>
      <c r="J29" s="43">
        <f>'PROYEKSI KONSUMSI'!AC29*110%</f>
        <v>19.516850948822785</v>
      </c>
      <c r="K29" s="43">
        <f>'PROYEKSI KONSUMSI'!AD29*110%</f>
        <v>16.189020359580027</v>
      </c>
      <c r="L29" s="40"/>
      <c r="M29" s="46">
        <f t="shared" si="2"/>
        <v>14778.784027842095</v>
      </c>
      <c r="N29" s="46">
        <f t="shared" si="2"/>
        <v>16142.940364465865</v>
      </c>
      <c r="O29" s="46">
        <f t="shared" si="2"/>
        <v>14778.784027842094</v>
      </c>
      <c r="P29" s="46">
        <f t="shared" si="2"/>
        <v>13390.870608868656</v>
      </c>
      <c r="Q29" s="46">
        <f t="shared" si="2"/>
        <v>11978.899716708582</v>
      </c>
      <c r="R29" s="46">
        <f t="shared" si="2"/>
        <v>10542.567610662411</v>
      </c>
      <c r="S29" s="46">
        <f t="shared" si="2"/>
        <v>9081.5671652543842</v>
      </c>
      <c r="T29" s="46">
        <f t="shared" si="2"/>
        <v>7595.5878349698869</v>
      </c>
    </row>
    <row r="30" spans="2:20" ht="12.95" customHeight="1" outlineLevel="1" x14ac:dyDescent="0.2">
      <c r="B30" s="49"/>
      <c r="C30" s="49" t="str">
        <f>'PROYEKSI KONSUMSI'!C30</f>
        <v xml:space="preserve">     Subtotal Pangan Hewani</v>
      </c>
      <c r="D30" s="43">
        <f>'PROYEKSI KONSUMSI'!W30*110%</f>
        <v>122.12454450163662</v>
      </c>
      <c r="E30" s="43">
        <f>'PROYEKSI KONSUMSI'!X30*110%</f>
        <v>134.50445340196396</v>
      </c>
      <c r="F30" s="43">
        <f>'PROYEKSI KONSUMSI'!Y30*110%</f>
        <v>122.12454450163662</v>
      </c>
      <c r="G30" s="43">
        <f>'PROYEKSI KONSUMSI'!Z30*110%</f>
        <v>109.74463560130931</v>
      </c>
      <c r="H30" s="43">
        <f>'PROYEKSI KONSUMSI'!AA30*110%</f>
        <v>97.364726700981976</v>
      </c>
      <c r="I30" s="43">
        <f>'PROYEKSI KONSUMSI'!AB30*110%</f>
        <v>84.984817800654668</v>
      </c>
      <c r="J30" s="43">
        <f>'PROYEKSI KONSUMSI'!AC30*110%</f>
        <v>72.604908900327331</v>
      </c>
      <c r="K30" s="43">
        <f>'PROYEKSI KONSUMSI'!AD30*110%</f>
        <v>60.225000000000001</v>
      </c>
      <c r="L30" s="40"/>
      <c r="M30" s="46">
        <f t="shared" si="2"/>
        <v>54978.760191013782</v>
      </c>
      <c r="N30" s="46">
        <f t="shared" si="2"/>
        <v>60053.577168716205</v>
      </c>
      <c r="O30" s="46">
        <f t="shared" si="2"/>
        <v>54978.760191013782</v>
      </c>
      <c r="P30" s="46">
        <f t="shared" si="2"/>
        <v>49815.564160550362</v>
      </c>
      <c r="Q30" s="46">
        <f t="shared" si="2"/>
        <v>44562.87158919168</v>
      </c>
      <c r="R30" s="46">
        <f t="shared" si="2"/>
        <v>39219.552526933439</v>
      </c>
      <c r="S30" s="46">
        <f t="shared" si="2"/>
        <v>33784.464432017914</v>
      </c>
      <c r="T30" s="46">
        <f t="shared" si="2"/>
        <v>28256.452039753218</v>
      </c>
    </row>
    <row r="31" spans="2:20" ht="12.95" customHeight="1" outlineLevel="2" x14ac:dyDescent="0.2">
      <c r="B31" s="37"/>
      <c r="C31" s="50" t="str">
        <f>'PROYEKSI KONSUMSI'!C31</f>
        <v xml:space="preserve"> 4. Minyak dan Lemak</v>
      </c>
      <c r="D31" s="51"/>
      <c r="E31" s="52"/>
      <c r="F31" s="52"/>
      <c r="G31" s="52"/>
      <c r="H31" s="52"/>
      <c r="I31" s="52"/>
      <c r="J31" s="52"/>
      <c r="K31" s="53"/>
      <c r="L31" s="40"/>
      <c r="M31" s="54"/>
      <c r="N31" s="55"/>
      <c r="O31" s="55"/>
      <c r="P31" s="55"/>
      <c r="Q31" s="55"/>
      <c r="R31" s="55"/>
      <c r="S31" s="55"/>
      <c r="T31" s="56"/>
    </row>
    <row r="32" spans="2:20" ht="12.95" customHeight="1" outlineLevel="2" x14ac:dyDescent="0.2">
      <c r="B32" s="41">
        <v>20</v>
      </c>
      <c r="C32" s="37" t="str">
        <f>'PROYEKSI KONSUMSI'!C32</f>
        <v xml:space="preserve">     Minyak Kelapa</v>
      </c>
      <c r="D32" s="43">
        <f>'PROYEKSI KONSUMSI'!W32*110%</f>
        <v>9.0071737657977546E-2</v>
      </c>
      <c r="E32" s="43">
        <f>'PROYEKSI KONSUMSI'!X32*110%</f>
        <v>9.7765592214495128E-2</v>
      </c>
      <c r="F32" s="43">
        <f>'PROYEKSI KONSUMSI'!Y32*110%</f>
        <v>9.0071737657977533E-2</v>
      </c>
      <c r="G32" s="43">
        <f>'PROYEKSI KONSUMSI'!Z32*110%</f>
        <v>8.2377883101459923E-2</v>
      </c>
      <c r="H32" s="43">
        <f>'PROYEKSI KONSUMSI'!AA32*110%</f>
        <v>7.4684028544942327E-2</v>
      </c>
      <c r="I32" s="43">
        <f>'PROYEKSI KONSUMSI'!AB32*110%</f>
        <v>6.6990173988424717E-2</v>
      </c>
      <c r="J32" s="43">
        <f>'PROYEKSI KONSUMSI'!AC32*110%</f>
        <v>5.9296319431907121E-2</v>
      </c>
      <c r="K32" s="43">
        <f>'PROYEKSI KONSUMSI'!AD32*110%</f>
        <v>5.1602464875389518E-2</v>
      </c>
      <c r="L32" s="40"/>
      <c r="M32" s="46">
        <f t="shared" ref="M32:T35" si="3">D32*M$63/1000</f>
        <v>40.549035289294281</v>
      </c>
      <c r="N32" s="46">
        <f t="shared" si="3"/>
        <v>43.650402555464353</v>
      </c>
      <c r="O32" s="46">
        <f t="shared" si="3"/>
        <v>40.549035289294274</v>
      </c>
      <c r="P32" s="46">
        <f t="shared" si="3"/>
        <v>37.393178250273721</v>
      </c>
      <c r="Q32" s="46">
        <f t="shared" si="3"/>
        <v>34.182140561364356</v>
      </c>
      <c r="R32" s="46">
        <f t="shared" si="3"/>
        <v>30.915223630769425</v>
      </c>
      <c r="S32" s="46">
        <f t="shared" si="3"/>
        <v>27.591721071463354</v>
      </c>
      <c r="T32" s="46">
        <f t="shared" si="3"/>
        <v>24.210918619916875</v>
      </c>
    </row>
    <row r="33" spans="2:20" ht="12.95" customHeight="1" outlineLevel="2" x14ac:dyDescent="0.2">
      <c r="B33" s="41">
        <v>21</v>
      </c>
      <c r="C33" s="37" t="str">
        <f>'PROYEKSI KONSUMSI'!C33</f>
        <v xml:space="preserve">     Minyak Lainnya</v>
      </c>
      <c r="D33" s="43">
        <f>'PROYEKSI KONSUMSI'!W33*110%</f>
        <v>13.926236497619904</v>
      </c>
      <c r="E33" s="43">
        <f>'PROYEKSI KONSUMSI'!X33*110%</f>
        <v>15.115804290118962</v>
      </c>
      <c r="F33" s="43">
        <f>'PROYEKSI KONSUMSI'!Y33*110%</f>
        <v>13.926236497619904</v>
      </c>
      <c r="G33" s="43">
        <f>'PROYEKSI KONSUMSI'!Z33*110%</f>
        <v>12.736668705120845</v>
      </c>
      <c r="H33" s="43">
        <f>'PROYEKSI KONSUMSI'!AA33*110%</f>
        <v>11.547100912621787</v>
      </c>
      <c r="I33" s="43">
        <f>'PROYEKSI KONSUMSI'!AB33*110%</f>
        <v>10.357533120122728</v>
      </c>
      <c r="J33" s="43">
        <f>'PROYEKSI KONSUMSI'!AC33*110%</f>
        <v>9.1679653276236692</v>
      </c>
      <c r="K33" s="43">
        <f>'PROYEKSI KONSUMSI'!AD33*110%</f>
        <v>7.9783975351246097</v>
      </c>
      <c r="L33" s="40"/>
      <c r="M33" s="46">
        <f t="shared" si="3"/>
        <v>6269.3967039175132</v>
      </c>
      <c r="N33" s="46">
        <f t="shared" si="3"/>
        <v>6748.9075375895027</v>
      </c>
      <c r="O33" s="46">
        <f t="shared" si="3"/>
        <v>6269.3967039175132</v>
      </c>
      <c r="P33" s="46">
        <f t="shared" si="3"/>
        <v>5781.4610581663055</v>
      </c>
      <c r="Q33" s="46">
        <f t="shared" si="3"/>
        <v>5284.9937819566949</v>
      </c>
      <c r="R33" s="46">
        <f t="shared" si="3"/>
        <v>4779.8868641097079</v>
      </c>
      <c r="S33" s="46">
        <f t="shared" si="3"/>
        <v>4266.0310882048216</v>
      </c>
      <c r="T33" s="46">
        <f t="shared" si="3"/>
        <v>3743.3160200138445</v>
      </c>
    </row>
    <row r="34" spans="2:20" ht="12.95" customHeight="1" outlineLevel="2" x14ac:dyDescent="0.2">
      <c r="B34" s="41">
        <v>22</v>
      </c>
      <c r="C34" s="37" t="str">
        <f>'PROYEKSI KONSUMSI'!C34</f>
        <v xml:space="preserve">     Margarin</v>
      </c>
      <c r="D34" s="43">
        <f>'PROYEKSI KONSUMSI'!W34*110%</f>
        <v>0</v>
      </c>
      <c r="E34" s="43">
        <f>'PROYEKSI KONSUMSI'!X34*110%</f>
        <v>0</v>
      </c>
      <c r="F34" s="43">
        <f>'PROYEKSI KONSUMSI'!Y34*110%</f>
        <v>0</v>
      </c>
      <c r="G34" s="43">
        <f>'PROYEKSI KONSUMSI'!Z34*110%</f>
        <v>0</v>
      </c>
      <c r="H34" s="43">
        <f>'PROYEKSI KONSUMSI'!AA34*110%</f>
        <v>0</v>
      </c>
      <c r="I34" s="43">
        <f>'PROYEKSI KONSUMSI'!AB34*110%</f>
        <v>0</v>
      </c>
      <c r="J34" s="43">
        <f>'PROYEKSI KONSUMSI'!AC34*110%</f>
        <v>0</v>
      </c>
      <c r="K34" s="43">
        <f>'PROYEKSI KONSUMSI'!AD34*110%</f>
        <v>0</v>
      </c>
      <c r="L34" s="40"/>
      <c r="M34" s="46">
        <f t="shared" si="3"/>
        <v>0</v>
      </c>
      <c r="N34" s="46">
        <f t="shared" si="3"/>
        <v>0</v>
      </c>
      <c r="O34" s="46">
        <f t="shared" si="3"/>
        <v>0</v>
      </c>
      <c r="P34" s="46">
        <f t="shared" si="3"/>
        <v>0</v>
      </c>
      <c r="Q34" s="46">
        <f t="shared" si="3"/>
        <v>0</v>
      </c>
      <c r="R34" s="46">
        <f t="shared" si="3"/>
        <v>0</v>
      </c>
      <c r="S34" s="46">
        <f t="shared" si="3"/>
        <v>0</v>
      </c>
      <c r="T34" s="46">
        <f t="shared" si="3"/>
        <v>0</v>
      </c>
    </row>
    <row r="35" spans="2:20" ht="12.95" customHeight="1" outlineLevel="1" x14ac:dyDescent="0.2">
      <c r="B35" s="49"/>
      <c r="C35" s="49" t="str">
        <f>'PROYEKSI KONSUMSI'!C35</f>
        <v xml:space="preserve">     Subtotal Minyak dan Lemak</v>
      </c>
      <c r="D35" s="43">
        <f>'PROYEKSI KONSUMSI'!W35*110%</f>
        <v>14.016308235277881</v>
      </c>
      <c r="E35" s="43">
        <f>'PROYEKSI KONSUMSI'!X35*110%</f>
        <v>15.213569882333459</v>
      </c>
      <c r="F35" s="43">
        <f>'PROYEKSI KONSUMSI'!Y35*110%</f>
        <v>14.016308235277881</v>
      </c>
      <c r="G35" s="43">
        <f>'PROYEKSI KONSUMSI'!Z35*110%</f>
        <v>12.819046588222307</v>
      </c>
      <c r="H35" s="43">
        <f>'PROYEKSI KONSUMSI'!AA35*110%</f>
        <v>11.62178494116673</v>
      </c>
      <c r="I35" s="43">
        <f>'PROYEKSI KONSUMSI'!AB35*110%</f>
        <v>10.424523294111154</v>
      </c>
      <c r="J35" s="43">
        <f>'PROYEKSI KONSUMSI'!AC35*110%</f>
        <v>9.2272616470555757</v>
      </c>
      <c r="K35" s="43">
        <f>'PROYEKSI KONSUMSI'!AD35*110%</f>
        <v>8.0300000000000011</v>
      </c>
      <c r="L35" s="40"/>
      <c r="M35" s="46">
        <f t="shared" si="3"/>
        <v>6309.9457392068089</v>
      </c>
      <c r="N35" s="46">
        <f t="shared" si="3"/>
        <v>6792.5579401449686</v>
      </c>
      <c r="O35" s="46">
        <f t="shared" si="3"/>
        <v>6309.9457392068089</v>
      </c>
      <c r="P35" s="46">
        <f t="shared" si="3"/>
        <v>5818.8542364165805</v>
      </c>
      <c r="Q35" s="46">
        <f t="shared" si="3"/>
        <v>5319.1759225180604</v>
      </c>
      <c r="R35" s="46">
        <f t="shared" si="3"/>
        <v>4810.8020877404779</v>
      </c>
      <c r="S35" s="46">
        <f t="shared" si="3"/>
        <v>4293.6228092762849</v>
      </c>
      <c r="T35" s="46">
        <f t="shared" si="3"/>
        <v>3767.5269386337627</v>
      </c>
    </row>
    <row r="36" spans="2:20" ht="12.95" customHeight="1" outlineLevel="2" x14ac:dyDescent="0.2">
      <c r="B36" s="37"/>
      <c r="C36" s="50" t="str">
        <f>'PROYEKSI KONSUMSI'!C36</f>
        <v xml:space="preserve"> 5. Buah/Biji Berminyak</v>
      </c>
      <c r="D36" s="51"/>
      <c r="E36" s="52"/>
      <c r="F36" s="52"/>
      <c r="G36" s="52"/>
      <c r="H36" s="52"/>
      <c r="I36" s="52"/>
      <c r="J36" s="52"/>
      <c r="K36" s="53"/>
      <c r="L36" s="40"/>
      <c r="M36" s="54"/>
      <c r="N36" s="55"/>
      <c r="O36" s="55"/>
      <c r="P36" s="55"/>
      <c r="Q36" s="55"/>
      <c r="R36" s="55"/>
      <c r="S36" s="55"/>
      <c r="T36" s="56"/>
    </row>
    <row r="37" spans="2:20" ht="12.95" customHeight="1" outlineLevel="2" x14ac:dyDescent="0.2">
      <c r="B37" s="41">
        <v>26</v>
      </c>
      <c r="C37" s="37" t="str">
        <f>'PROYEKSI KONSUMSI'!C37</f>
        <v xml:space="preserve">     Kelapa</v>
      </c>
      <c r="D37" s="43">
        <f>'PROYEKSI KONSUMSI'!W37*110%</f>
        <v>11.521541223184581</v>
      </c>
      <c r="E37" s="43">
        <f>'PROYEKSI KONSUMSI'!X37*110%</f>
        <v>13.111871319330451</v>
      </c>
      <c r="F37" s="43">
        <f>'PROYEKSI KONSUMSI'!Y37*110%</f>
        <v>11.521541223184581</v>
      </c>
      <c r="G37" s="43">
        <f>'PROYEKSI KONSUMSI'!Z37*110%</f>
        <v>9.931211127038706</v>
      </c>
      <c r="H37" s="43">
        <f>'PROYEKSI KONSUMSI'!AA37*110%</f>
        <v>8.3408810308928345</v>
      </c>
      <c r="I37" s="43">
        <f>'PROYEKSI KONSUMSI'!AB37*110%</f>
        <v>6.7505509347469603</v>
      </c>
      <c r="J37" s="43">
        <f>'PROYEKSI KONSUMSI'!AC37*110%</f>
        <v>5.1602208386010888</v>
      </c>
      <c r="K37" s="43">
        <f>'PROYEKSI KONSUMSI'!AD37*110%</f>
        <v>3.5698907424552151</v>
      </c>
      <c r="L37" s="40"/>
      <c r="M37" s="46">
        <f t="shared" ref="M37:T39" si="4">D37*M$63/1000</f>
        <v>5186.8365571005734</v>
      </c>
      <c r="N37" s="46">
        <f t="shared" si="4"/>
        <v>5854.191115505404</v>
      </c>
      <c r="O37" s="46">
        <f t="shared" si="4"/>
        <v>5186.8365571005734</v>
      </c>
      <c r="P37" s="46">
        <f t="shared" si="4"/>
        <v>4508.0006178002741</v>
      </c>
      <c r="Q37" s="46">
        <f t="shared" si="4"/>
        <v>3817.5386807371729</v>
      </c>
      <c r="R37" s="46">
        <f t="shared" si="4"/>
        <v>3115.3045193562625</v>
      </c>
      <c r="S37" s="46">
        <f t="shared" si="4"/>
        <v>2401.1502806567146</v>
      </c>
      <c r="T37" s="46">
        <f t="shared" si="4"/>
        <v>1674.9264682664141</v>
      </c>
    </row>
    <row r="38" spans="2:20" ht="12.95" customHeight="1" outlineLevel="2" x14ac:dyDescent="0.2">
      <c r="B38" s="41">
        <v>27</v>
      </c>
      <c r="C38" s="37" t="str">
        <f>'PROYEKSI KONSUMSI'!C38</f>
        <v xml:space="preserve">     Kemiri</v>
      </c>
      <c r="D38" s="43">
        <f>'PROYEKSI KONSUMSI'!W38*110%</f>
        <v>1.4365550739786133</v>
      </c>
      <c r="E38" s="43">
        <f>'PROYEKSI KONSUMSI'!X38*110%</f>
        <v>1.6348442372653791</v>
      </c>
      <c r="F38" s="43">
        <f>'PROYEKSI KONSUMSI'!Y38*110%</f>
        <v>1.4365550739786133</v>
      </c>
      <c r="G38" s="43">
        <f>'PROYEKSI KONSUMSI'!Z38*110%</f>
        <v>1.2382659106918477</v>
      </c>
      <c r="H38" s="43">
        <f>'PROYEKSI KONSUMSI'!AA38*110%</f>
        <v>1.0399767474050821</v>
      </c>
      <c r="I38" s="43">
        <f>'PROYEKSI KONSUMSI'!AB38*110%</f>
        <v>0.84168758411831612</v>
      </c>
      <c r="J38" s="43">
        <f>'PROYEKSI KONSUMSI'!AC38*110%</f>
        <v>0.64339842083155041</v>
      </c>
      <c r="K38" s="43">
        <f>'PROYEKSI KONSUMSI'!AD38*110%</f>
        <v>0.44510925754478475</v>
      </c>
      <c r="L38" s="40"/>
      <c r="M38" s="46">
        <f t="shared" si="4"/>
        <v>646.71698253413604</v>
      </c>
      <c r="N38" s="46">
        <f t="shared" si="4"/>
        <v>729.92560527377964</v>
      </c>
      <c r="O38" s="46">
        <f t="shared" si="4"/>
        <v>646.71698253413604</v>
      </c>
      <c r="P38" s="46">
        <f t="shared" si="4"/>
        <v>562.07681208206714</v>
      </c>
      <c r="Q38" s="46">
        <f t="shared" si="4"/>
        <v>475.98706246756711</v>
      </c>
      <c r="R38" s="46">
        <f t="shared" si="4"/>
        <v>388.42950153788189</v>
      </c>
      <c r="S38" s="46">
        <f t="shared" si="4"/>
        <v>299.38569434803065</v>
      </c>
      <c r="T38" s="46">
        <f t="shared" si="4"/>
        <v>208.83700105046697</v>
      </c>
    </row>
    <row r="39" spans="2:20" ht="12.95" customHeight="1" outlineLevel="1" x14ac:dyDescent="0.2">
      <c r="B39" s="49"/>
      <c r="C39" s="49" t="str">
        <f>'PROYEKSI KONSUMSI'!C39</f>
        <v xml:space="preserve">     Subtotal Buah/Biji Berminyak</v>
      </c>
      <c r="D39" s="43">
        <f>'PROYEKSI KONSUMSI'!W39*110%</f>
        <v>12.958096297163193</v>
      </c>
      <c r="E39" s="43">
        <f>'PROYEKSI KONSUMSI'!X39*110%</f>
        <v>14.746715556595831</v>
      </c>
      <c r="F39" s="43">
        <f>'PROYEKSI KONSUMSI'!Y39*110%</f>
        <v>12.958096297163193</v>
      </c>
      <c r="G39" s="43">
        <f>'PROYEKSI KONSUMSI'!Z39*110%</f>
        <v>11.169477037730553</v>
      </c>
      <c r="H39" s="43">
        <f>'PROYEKSI KONSUMSI'!AA39*110%</f>
        <v>9.3808577782979157</v>
      </c>
      <c r="I39" s="43">
        <f>'PROYEKSI KONSUMSI'!AB39*110%</f>
        <v>7.592238518865277</v>
      </c>
      <c r="J39" s="43">
        <f>'PROYEKSI KONSUMSI'!AC39*110%</f>
        <v>5.8036192594326392</v>
      </c>
      <c r="K39" s="43">
        <f>'PROYEKSI KONSUMSI'!AD39*110%</f>
        <v>4.0150000000000006</v>
      </c>
      <c r="L39" s="40"/>
      <c r="M39" s="46">
        <f t="shared" si="4"/>
        <v>5833.5535396347095</v>
      </c>
      <c r="N39" s="46">
        <f t="shared" si="4"/>
        <v>6584.1167207791841</v>
      </c>
      <c r="O39" s="46">
        <f t="shared" si="4"/>
        <v>5833.5535396347095</v>
      </c>
      <c r="P39" s="46">
        <f t="shared" si="4"/>
        <v>5070.0774298823408</v>
      </c>
      <c r="Q39" s="46">
        <f t="shared" si="4"/>
        <v>4293.5257432047401</v>
      </c>
      <c r="R39" s="46">
        <f t="shared" si="4"/>
        <v>3503.7340208941446</v>
      </c>
      <c r="S39" s="46">
        <f t="shared" si="4"/>
        <v>2700.5359750047446</v>
      </c>
      <c r="T39" s="46">
        <f t="shared" si="4"/>
        <v>1883.7634693168814</v>
      </c>
    </row>
    <row r="40" spans="2:20" ht="12.95" customHeight="1" outlineLevel="2" x14ac:dyDescent="0.2">
      <c r="B40" s="37"/>
      <c r="C40" s="50" t="str">
        <f>'PROYEKSI KONSUMSI'!C40</f>
        <v xml:space="preserve"> 6. Kacang-kacangan</v>
      </c>
      <c r="D40" s="51"/>
      <c r="E40" s="52"/>
      <c r="F40" s="52"/>
      <c r="G40" s="52"/>
      <c r="H40" s="52"/>
      <c r="I40" s="52"/>
      <c r="J40" s="52"/>
      <c r="K40" s="53"/>
      <c r="L40" s="40"/>
      <c r="M40" s="54"/>
      <c r="N40" s="55"/>
      <c r="O40" s="55"/>
      <c r="P40" s="55"/>
      <c r="Q40" s="55"/>
      <c r="R40" s="55"/>
      <c r="S40" s="55"/>
      <c r="T40" s="56"/>
    </row>
    <row r="41" spans="2:20" ht="12.95" customHeight="1" outlineLevel="2" x14ac:dyDescent="0.2">
      <c r="B41" s="41">
        <v>15</v>
      </c>
      <c r="C41" s="37" t="str">
        <f>'PROYEKSI KONSUMSI'!C41</f>
        <v xml:space="preserve">     Kacang Kedelai</v>
      </c>
      <c r="D41" s="43">
        <f>'PROYEKSI KONSUMSI'!W41*110%</f>
        <v>4.7978082142284846</v>
      </c>
      <c r="E41" s="43">
        <f>'PROYEKSI KONSUMSI'!X41*110%</f>
        <v>3.0533752621319561</v>
      </c>
      <c r="F41" s="43">
        <f>'PROYEKSI KONSUMSI'!Y41*110%</f>
        <v>4.7978082142284846</v>
      </c>
      <c r="G41" s="43">
        <f>'PROYEKSI KONSUMSI'!Z41*110%</f>
        <v>6.5422411663250157</v>
      </c>
      <c r="H41" s="43">
        <f>'PROYEKSI KONSUMSI'!AA41*110%</f>
        <v>8.2866741184215442</v>
      </c>
      <c r="I41" s="43">
        <f>'PROYEKSI KONSUMSI'!AB41*110%</f>
        <v>10.031107070518074</v>
      </c>
      <c r="J41" s="43">
        <f>'PROYEKSI KONSUMSI'!AC41*110%</f>
        <v>11.775540022614603</v>
      </c>
      <c r="K41" s="43">
        <f>'PROYEKSI KONSUMSI'!AD41*110%</f>
        <v>13.519972974711136</v>
      </c>
      <c r="L41" s="40"/>
      <c r="M41" s="46">
        <f t="shared" ref="M41:T45" si="5">D41*M$63/1000</f>
        <v>2159.9060887306646</v>
      </c>
      <c r="N41" s="46">
        <f t="shared" si="5"/>
        <v>1363.2716411367021</v>
      </c>
      <c r="O41" s="46">
        <f t="shared" si="5"/>
        <v>2159.9060887306646</v>
      </c>
      <c r="P41" s="46">
        <f t="shared" si="5"/>
        <v>2969.6707523713299</v>
      </c>
      <c r="Q41" s="46">
        <f t="shared" si="5"/>
        <v>3792.728713497977</v>
      </c>
      <c r="R41" s="46">
        <f t="shared" si="5"/>
        <v>4629.2448561611945</v>
      </c>
      <c r="S41" s="46">
        <f t="shared" si="5"/>
        <v>5479.3858857115501</v>
      </c>
      <c r="T41" s="46">
        <f t="shared" si="5"/>
        <v>6343.320347674302</v>
      </c>
    </row>
    <row r="42" spans="2:20" ht="12.95" customHeight="1" outlineLevel="2" x14ac:dyDescent="0.2">
      <c r="B42" s="41">
        <v>16</v>
      </c>
      <c r="C42" s="37" t="str">
        <f>'PROYEKSI KONSUMSI'!C42</f>
        <v xml:space="preserve">     Kacang Tanah</v>
      </c>
      <c r="D42" s="43">
        <f>'PROYEKSI KONSUMSI'!W42*110%</f>
        <v>0.18897689670005977</v>
      </c>
      <c r="E42" s="43">
        <f>'PROYEKSI KONSUMSI'!X42*110%</f>
        <v>0.12026687098229838</v>
      </c>
      <c r="F42" s="43">
        <f>'PROYEKSI KONSUMSI'!Y42*110%</f>
        <v>0.18897689670005977</v>
      </c>
      <c r="G42" s="43">
        <f>'PROYEKSI KONSUMSI'!Z42*110%</f>
        <v>0.25768692241782121</v>
      </c>
      <c r="H42" s="43">
        <f>'PROYEKSI KONSUMSI'!AA42*110%</f>
        <v>0.32639694813558262</v>
      </c>
      <c r="I42" s="43">
        <f>'PROYEKSI KONSUMSI'!AB42*110%</f>
        <v>0.39510697385334398</v>
      </c>
      <c r="J42" s="43">
        <f>'PROYEKSI KONSUMSI'!AC42*110%</f>
        <v>0.46381699957110539</v>
      </c>
      <c r="K42" s="43">
        <f>'PROYEKSI KONSUMSI'!AD42*110%</f>
        <v>0.53252702528886675</v>
      </c>
      <c r="L42" s="40"/>
      <c r="M42" s="46">
        <f t="shared" si="5"/>
        <v>85.074753217813111</v>
      </c>
      <c r="N42" s="46">
        <f t="shared" si="5"/>
        <v>53.696778319981135</v>
      </c>
      <c r="O42" s="46">
        <f t="shared" si="5"/>
        <v>85.074753217813111</v>
      </c>
      <c r="P42" s="46">
        <f t="shared" si="5"/>
        <v>116.96990332789065</v>
      </c>
      <c r="Q42" s="46">
        <f t="shared" si="5"/>
        <v>149.38865213004627</v>
      </c>
      <c r="R42" s="46">
        <f t="shared" si="5"/>
        <v>182.33749410567745</v>
      </c>
      <c r="S42" s="46">
        <f t="shared" si="5"/>
        <v>215.82299547385884</v>
      </c>
      <c r="T42" s="46">
        <f t="shared" si="5"/>
        <v>249.85179493478307</v>
      </c>
    </row>
    <row r="43" spans="2:20" ht="12.95" customHeight="1" outlineLevel="2" x14ac:dyDescent="0.2">
      <c r="B43" s="41">
        <v>17</v>
      </c>
      <c r="C43" s="37" t="str">
        <f>'PROYEKSI KONSUMSI'!C43</f>
        <v xml:space="preserve">     Kacang Hijau</v>
      </c>
      <c r="D43" s="43">
        <f>'PROYEKSI KONSUMSI'!W43*110%</f>
        <v>0</v>
      </c>
      <c r="E43" s="43">
        <f>'PROYEKSI KONSUMSI'!X43*110%</f>
        <v>0</v>
      </c>
      <c r="F43" s="43">
        <f>'PROYEKSI KONSUMSI'!Y43*110%</f>
        <v>0</v>
      </c>
      <c r="G43" s="43">
        <f>'PROYEKSI KONSUMSI'!Z43*110%</f>
        <v>0</v>
      </c>
      <c r="H43" s="43">
        <f>'PROYEKSI KONSUMSI'!AA43*110%</f>
        <v>0</v>
      </c>
      <c r="I43" s="43">
        <f>'PROYEKSI KONSUMSI'!AB43*110%</f>
        <v>0</v>
      </c>
      <c r="J43" s="43">
        <f>'PROYEKSI KONSUMSI'!AC43*110%</f>
        <v>0</v>
      </c>
      <c r="K43" s="43">
        <f>'PROYEKSI KONSUMSI'!AD43*110%</f>
        <v>0</v>
      </c>
      <c r="L43" s="40"/>
      <c r="M43" s="46">
        <f t="shared" si="5"/>
        <v>0</v>
      </c>
      <c r="N43" s="46">
        <f t="shared" si="5"/>
        <v>0</v>
      </c>
      <c r="O43" s="46">
        <f t="shared" si="5"/>
        <v>0</v>
      </c>
      <c r="P43" s="46">
        <f t="shared" si="5"/>
        <v>0</v>
      </c>
      <c r="Q43" s="46">
        <f t="shared" si="5"/>
        <v>0</v>
      </c>
      <c r="R43" s="46">
        <f t="shared" si="5"/>
        <v>0</v>
      </c>
      <c r="S43" s="46">
        <f t="shared" si="5"/>
        <v>0</v>
      </c>
      <c r="T43" s="46">
        <f t="shared" si="5"/>
        <v>0</v>
      </c>
    </row>
    <row r="44" spans="2:20" ht="12.95" customHeight="1" outlineLevel="2" x14ac:dyDescent="0.2">
      <c r="B44" s="41">
        <v>18</v>
      </c>
      <c r="C44" s="37" t="str">
        <f>'PROYEKSI KONSUMSI'!C44</f>
        <v xml:space="preserve">     Kacang lain</v>
      </c>
      <c r="D44" s="43">
        <f>'PROYEKSI KONSUMSI'!W44*110%</f>
        <v>0</v>
      </c>
      <c r="E44" s="43">
        <f>'PROYEKSI KONSUMSI'!X44*110%</f>
        <v>0</v>
      </c>
      <c r="F44" s="43">
        <f>'PROYEKSI KONSUMSI'!Y44*110%</f>
        <v>0</v>
      </c>
      <c r="G44" s="43">
        <f>'PROYEKSI KONSUMSI'!Z44*110%</f>
        <v>0</v>
      </c>
      <c r="H44" s="43">
        <f>'PROYEKSI KONSUMSI'!AA44*110%</f>
        <v>0</v>
      </c>
      <c r="I44" s="43">
        <f>'PROYEKSI KONSUMSI'!AB44*110%</f>
        <v>0</v>
      </c>
      <c r="J44" s="43">
        <f>'PROYEKSI KONSUMSI'!AC44*110%</f>
        <v>0</v>
      </c>
      <c r="K44" s="43">
        <f>'PROYEKSI KONSUMSI'!AD44*110%</f>
        <v>0</v>
      </c>
      <c r="L44" s="40"/>
      <c r="M44" s="46">
        <f t="shared" si="5"/>
        <v>0</v>
      </c>
      <c r="N44" s="46">
        <f t="shared" si="5"/>
        <v>0</v>
      </c>
      <c r="O44" s="46">
        <f t="shared" si="5"/>
        <v>0</v>
      </c>
      <c r="P44" s="46">
        <f t="shared" si="5"/>
        <v>0</v>
      </c>
      <c r="Q44" s="46">
        <f t="shared" si="5"/>
        <v>0</v>
      </c>
      <c r="R44" s="46">
        <f t="shared" si="5"/>
        <v>0</v>
      </c>
      <c r="S44" s="46">
        <f t="shared" si="5"/>
        <v>0</v>
      </c>
      <c r="T44" s="46">
        <f t="shared" si="5"/>
        <v>0</v>
      </c>
    </row>
    <row r="45" spans="2:20" ht="12.95" customHeight="1" outlineLevel="1" x14ac:dyDescent="0.2">
      <c r="B45" s="49"/>
      <c r="C45" s="49" t="str">
        <f>'PROYEKSI KONSUMSI'!C45</f>
        <v xml:space="preserve">     Subtotal Kacang-kacangan</v>
      </c>
      <c r="D45" s="43">
        <f>'PROYEKSI KONSUMSI'!W45*110%</f>
        <v>4.9867851109285457</v>
      </c>
      <c r="E45" s="43">
        <f>'PROYEKSI KONSUMSI'!X45*110%</f>
        <v>3.1736421331142544</v>
      </c>
      <c r="F45" s="43">
        <f>'PROYEKSI KONSUMSI'!Y45*110%</f>
        <v>4.9867851109285457</v>
      </c>
      <c r="G45" s="43">
        <f>'PROYEKSI KONSUMSI'!Z45*110%</f>
        <v>6.7999280887428375</v>
      </c>
      <c r="H45" s="43">
        <f>'PROYEKSI KONSUMSI'!AA45*110%</f>
        <v>8.6130710665571275</v>
      </c>
      <c r="I45" s="43">
        <f>'PROYEKSI KONSUMSI'!AB45*110%</f>
        <v>10.426214044371418</v>
      </c>
      <c r="J45" s="43">
        <f>'PROYEKSI KONSUMSI'!AC45*110%</f>
        <v>12.239357022185709</v>
      </c>
      <c r="K45" s="43">
        <f>'PROYEKSI KONSUMSI'!AD45*110%</f>
        <v>14.052500000000002</v>
      </c>
      <c r="L45" s="40"/>
      <c r="M45" s="46">
        <f t="shared" si="5"/>
        <v>2244.9808419484784</v>
      </c>
      <c r="N45" s="46">
        <f t="shared" si="5"/>
        <v>1416.9684194566833</v>
      </c>
      <c r="O45" s="46">
        <f t="shared" si="5"/>
        <v>2244.9808419484784</v>
      </c>
      <c r="P45" s="46">
        <f t="shared" si="5"/>
        <v>3086.640655699221</v>
      </c>
      <c r="Q45" s="46">
        <f t="shared" si="5"/>
        <v>3942.117365628023</v>
      </c>
      <c r="R45" s="46">
        <f t="shared" si="5"/>
        <v>4811.5823502668727</v>
      </c>
      <c r="S45" s="46">
        <f t="shared" si="5"/>
        <v>5695.2088811854101</v>
      </c>
      <c r="T45" s="46">
        <f t="shared" si="5"/>
        <v>6593.1721426090844</v>
      </c>
    </row>
    <row r="46" spans="2:20" ht="12.95" customHeight="1" outlineLevel="2" x14ac:dyDescent="0.2">
      <c r="B46" s="37"/>
      <c r="C46" s="38" t="str">
        <f>'PROYEKSI KONSUMSI'!C46</f>
        <v xml:space="preserve"> 7. Gula</v>
      </c>
      <c r="D46" s="51"/>
      <c r="E46" s="52"/>
      <c r="F46" s="52"/>
      <c r="G46" s="52"/>
      <c r="H46" s="52"/>
      <c r="I46" s="52"/>
      <c r="J46" s="52"/>
      <c r="K46" s="53"/>
      <c r="L46" s="40"/>
      <c r="M46" s="54"/>
      <c r="N46" s="55"/>
      <c r="O46" s="55"/>
      <c r="P46" s="55"/>
      <c r="Q46" s="55"/>
      <c r="R46" s="55"/>
      <c r="S46" s="55"/>
      <c r="T46" s="56"/>
    </row>
    <row r="47" spans="2:20" ht="12.95" customHeight="1" outlineLevel="2" x14ac:dyDescent="0.2">
      <c r="B47" s="41">
        <v>23</v>
      </c>
      <c r="C47" s="37" t="str">
        <f>'PROYEKSI KONSUMSI'!C47</f>
        <v xml:space="preserve">     Gula Pasir</v>
      </c>
      <c r="D47" s="43">
        <f>'PROYEKSI KONSUMSI'!W47*110%</f>
        <v>11.563694481358461</v>
      </c>
      <c r="E47" s="43">
        <f>'PROYEKSI KONSUMSI'!X47*110%</f>
        <v>11.488271406631601</v>
      </c>
      <c r="F47" s="43">
        <f>'PROYEKSI KONSUMSI'!Y47*110%</f>
        <v>11.563694481358461</v>
      </c>
      <c r="G47" s="43">
        <f>'PROYEKSI KONSUMSI'!Z47*110%</f>
        <v>11.639117556085322</v>
      </c>
      <c r="H47" s="43">
        <f>'PROYEKSI KONSUMSI'!AA47*110%</f>
        <v>11.714540630812181</v>
      </c>
      <c r="I47" s="43">
        <f>'PROYEKSI KONSUMSI'!AB47*110%</f>
        <v>11.789963705539041</v>
      </c>
      <c r="J47" s="43">
        <f>'PROYEKSI KONSUMSI'!AC47*110%</f>
        <v>11.865386780265899</v>
      </c>
      <c r="K47" s="43">
        <f>'PROYEKSI KONSUMSI'!AD47*110%</f>
        <v>11.940809854992761</v>
      </c>
      <c r="L47" s="40"/>
      <c r="M47" s="46">
        <f t="shared" ref="M47:T49" si="6">D47*M$63/1000</f>
        <v>5205.8133637848405</v>
      </c>
      <c r="N47" s="46">
        <f t="shared" si="6"/>
        <v>5129.2858786728693</v>
      </c>
      <c r="O47" s="46">
        <f t="shared" si="6"/>
        <v>5205.8133637848405</v>
      </c>
      <c r="P47" s="46">
        <f t="shared" si="6"/>
        <v>5283.2578486454886</v>
      </c>
      <c r="Q47" s="46">
        <f t="shared" si="6"/>
        <v>5361.6292834721917</v>
      </c>
      <c r="R47" s="46">
        <f t="shared" si="6"/>
        <v>5440.9377204838256</v>
      </c>
      <c r="S47" s="46">
        <f t="shared" si="6"/>
        <v>5521.1933149085125</v>
      </c>
      <c r="T47" s="46">
        <f t="shared" si="6"/>
        <v>5602.4063260010871</v>
      </c>
    </row>
    <row r="48" spans="2:20" ht="12.95" customHeight="1" outlineLevel="2" x14ac:dyDescent="0.2">
      <c r="B48" s="41">
        <v>24</v>
      </c>
      <c r="C48" s="37" t="str">
        <f>'PROYEKSI KONSUMSI'!C48</f>
        <v xml:space="preserve">     Gula Merah</v>
      </c>
      <c r="D48" s="43">
        <f>'PROYEKSI KONSUMSI'!W48*110%</f>
        <v>0.10089960559319895</v>
      </c>
      <c r="E48" s="43">
        <f>'PROYEKSI KONSUMSI'!X48*110%</f>
        <v>0.10024149771039086</v>
      </c>
      <c r="F48" s="43">
        <f>'PROYEKSI KONSUMSI'!Y48*110%</f>
        <v>0.10089960559319895</v>
      </c>
      <c r="G48" s="43">
        <f>'PROYEKSI KONSUMSI'!Z48*110%</f>
        <v>0.10155771347600707</v>
      </c>
      <c r="H48" s="43">
        <f>'PROYEKSI KONSUMSI'!AA48*110%</f>
        <v>0.10221582135881517</v>
      </c>
      <c r="I48" s="43">
        <f>'PROYEKSI KONSUMSI'!AB48*110%</f>
        <v>0.10287392924162327</v>
      </c>
      <c r="J48" s="43">
        <f>'PROYEKSI KONSUMSI'!AC48*110%</f>
        <v>0.10353203712443136</v>
      </c>
      <c r="K48" s="43">
        <f>'PROYEKSI KONSUMSI'!AD48*110%</f>
        <v>0.10419014500723948</v>
      </c>
      <c r="L48" s="40"/>
      <c r="M48" s="46">
        <f t="shared" si="6"/>
        <v>45.423589843579869</v>
      </c>
      <c r="N48" s="46">
        <f t="shared" si="6"/>
        <v>44.755845371665202</v>
      </c>
      <c r="O48" s="46">
        <f t="shared" si="6"/>
        <v>45.423589843579869</v>
      </c>
      <c r="P48" s="46">
        <f t="shared" si="6"/>
        <v>46.09933564354067</v>
      </c>
      <c r="Q48" s="46">
        <f t="shared" si="6"/>
        <v>46.783169592676494</v>
      </c>
      <c r="R48" s="46">
        <f t="shared" si="6"/>
        <v>47.475179402135488</v>
      </c>
      <c r="S48" s="46">
        <f t="shared" si="6"/>
        <v>48.17545368187826</v>
      </c>
      <c r="T48" s="46">
        <f t="shared" si="6"/>
        <v>48.884081949555757</v>
      </c>
    </row>
    <row r="49" spans="2:20" ht="12.95" customHeight="1" outlineLevel="1" x14ac:dyDescent="0.2">
      <c r="B49" s="49"/>
      <c r="C49" s="49" t="str">
        <f>'PROYEKSI KONSUMSI'!C49</f>
        <v xml:space="preserve">     Subtotal Gula</v>
      </c>
      <c r="D49" s="43">
        <f>'PROYEKSI KONSUMSI'!W49*110%</f>
        <v>11.664594086951659</v>
      </c>
      <c r="E49" s="43">
        <f>'PROYEKSI KONSUMSI'!X49*110%</f>
        <v>11.588512904341989</v>
      </c>
      <c r="F49" s="43">
        <f>'PROYEKSI KONSUMSI'!Y49*110%</f>
        <v>11.664594086951659</v>
      </c>
      <c r="G49" s="43">
        <f>'PROYEKSI KONSUMSI'!Z49*110%</f>
        <v>11.740675269561327</v>
      </c>
      <c r="H49" s="43">
        <f>'PROYEKSI KONSUMSI'!AA49*110%</f>
        <v>11.816756452170996</v>
      </c>
      <c r="I49" s="43">
        <f>'PROYEKSI KONSUMSI'!AB49*110%</f>
        <v>11.892837634780664</v>
      </c>
      <c r="J49" s="43">
        <f>'PROYEKSI KONSUMSI'!AC49*110%</f>
        <v>11.968918817390334</v>
      </c>
      <c r="K49" s="43">
        <f>'PROYEKSI KONSUMSI'!AD49*110%</f>
        <v>12.045</v>
      </c>
      <c r="L49" s="40"/>
      <c r="M49" s="46">
        <f t="shared" si="6"/>
        <v>5251.2369536284195</v>
      </c>
      <c r="N49" s="46">
        <f t="shared" si="6"/>
        <v>5174.0417240445331</v>
      </c>
      <c r="O49" s="46">
        <f t="shared" si="6"/>
        <v>5251.2369536284195</v>
      </c>
      <c r="P49" s="46">
        <f t="shared" si="6"/>
        <v>5329.3571842890278</v>
      </c>
      <c r="Q49" s="46">
        <f t="shared" si="6"/>
        <v>5408.4124530648678</v>
      </c>
      <c r="R49" s="46">
        <f t="shared" si="6"/>
        <v>5488.4128998859605</v>
      </c>
      <c r="S49" s="46">
        <f t="shared" si="6"/>
        <v>5569.3687685903924</v>
      </c>
      <c r="T49" s="46">
        <f t="shared" si="6"/>
        <v>5651.2904079506434</v>
      </c>
    </row>
    <row r="50" spans="2:20" s="17" customFormat="1" ht="12.95" customHeight="1" outlineLevel="2" x14ac:dyDescent="0.2">
      <c r="B50" s="57"/>
      <c r="C50" s="38" t="str">
        <f>'PROYEKSI KONSUMSI'!C50</f>
        <v xml:space="preserve"> 8. Sayur dan Buah</v>
      </c>
      <c r="D50" s="58"/>
      <c r="E50" s="59"/>
      <c r="F50" s="59"/>
      <c r="G50" s="59"/>
      <c r="H50" s="59"/>
      <c r="I50" s="59"/>
      <c r="J50" s="59"/>
      <c r="K50" s="60"/>
      <c r="L50" s="61"/>
      <c r="M50" s="63"/>
      <c r="N50" s="64"/>
      <c r="O50" s="64"/>
      <c r="P50" s="64"/>
      <c r="Q50" s="64"/>
      <c r="R50" s="64"/>
      <c r="S50" s="64"/>
      <c r="T50" s="65"/>
    </row>
    <row r="51" spans="2:20" ht="12.95" customHeight="1" outlineLevel="2" x14ac:dyDescent="0.2">
      <c r="B51" s="41">
        <v>14</v>
      </c>
      <c r="C51" s="37" t="str">
        <f>'PROYEKSI KONSUMSI'!C51</f>
        <v xml:space="preserve">     Sayur</v>
      </c>
      <c r="D51" s="43">
        <f>'PROYEKSI KONSUMSI'!W51*110%</f>
        <v>50.395614583803813</v>
      </c>
      <c r="E51" s="43">
        <f>'PROYEKSI KONSUMSI'!X51*110%</f>
        <v>46.158245776831755</v>
      </c>
      <c r="F51" s="43">
        <f>'PROYEKSI KONSUMSI'!Y51*110%</f>
        <v>50.395614583803813</v>
      </c>
      <c r="G51" s="43">
        <f>'PROYEKSI KONSUMSI'!Z51*110%</f>
        <v>54.63298339077587</v>
      </c>
      <c r="H51" s="43">
        <f>'PROYEKSI KONSUMSI'!AA51*110%</f>
        <v>58.87035219774792</v>
      </c>
      <c r="I51" s="43">
        <f>'PROYEKSI KONSUMSI'!AB51*110%</f>
        <v>63.107721004719991</v>
      </c>
      <c r="J51" s="43">
        <f>'PROYEKSI KONSUMSI'!AC51*110%</f>
        <v>67.345089811692048</v>
      </c>
      <c r="K51" s="43">
        <f>'PROYEKSI KONSUMSI'!AD51*110%</f>
        <v>71.582458618664106</v>
      </c>
      <c r="L51" s="40"/>
      <c r="M51" s="46">
        <f t="shared" ref="M51:T53" si="7">D51*M$63/1000</f>
        <v>22687.400147024302</v>
      </c>
      <c r="N51" s="46">
        <f t="shared" si="7"/>
        <v>20608.743462549621</v>
      </c>
      <c r="O51" s="46">
        <f t="shared" si="7"/>
        <v>22687.400147024302</v>
      </c>
      <c r="P51" s="46">
        <f t="shared" si="7"/>
        <v>24799.142796124132</v>
      </c>
      <c r="Q51" s="46">
        <f t="shared" si="7"/>
        <v>26944.377438202886</v>
      </c>
      <c r="R51" s="46">
        <f t="shared" si="7"/>
        <v>29123.514562392935</v>
      </c>
      <c r="S51" s="46">
        <f t="shared" si="7"/>
        <v>31336.969164682811</v>
      </c>
      <c r="T51" s="46">
        <f t="shared" si="7"/>
        <v>33585.160794452495</v>
      </c>
    </row>
    <row r="52" spans="2:20" ht="12.95" customHeight="1" outlineLevel="2" x14ac:dyDescent="0.2">
      <c r="B52" s="41">
        <v>19</v>
      </c>
      <c r="C52" s="37" t="str">
        <f>'PROYEKSI KONSUMSI'!C52</f>
        <v xml:space="preserve">     Buah</v>
      </c>
      <c r="D52" s="43">
        <f>'PROYEKSI KONSUMSI'!W52*110%</f>
        <v>20.270578104503578</v>
      </c>
      <c r="E52" s="43">
        <f>'PROYEKSI KONSUMSI'!X52*110%</f>
        <v>18.566185449137119</v>
      </c>
      <c r="F52" s="43">
        <f>'PROYEKSI KONSUMSI'!Y52*110%</f>
        <v>20.270578104503574</v>
      </c>
      <c r="G52" s="43">
        <f>'PROYEKSI KONSUMSI'!Z52*110%</f>
        <v>21.974970759870043</v>
      </c>
      <c r="H52" s="43">
        <f>'PROYEKSI KONSUMSI'!AA52*110%</f>
        <v>23.679363415236509</v>
      </c>
      <c r="I52" s="43">
        <f>'PROYEKSI KONSUMSI'!AB52*110%</f>
        <v>25.383756070602971</v>
      </c>
      <c r="J52" s="43">
        <f>'PROYEKSI KONSUMSI'!AC52*110%</f>
        <v>27.088148725969436</v>
      </c>
      <c r="K52" s="43">
        <f>'PROYEKSI KONSUMSI'!AD52*110%</f>
        <v>28.792541381335901</v>
      </c>
      <c r="L52" s="40"/>
      <c r="M52" s="46">
        <f t="shared" si="7"/>
        <v>9125.530474554047</v>
      </c>
      <c r="N52" s="46">
        <f t="shared" si="7"/>
        <v>8289.4344566153359</v>
      </c>
      <c r="O52" s="46">
        <f t="shared" si="7"/>
        <v>9125.530474554047</v>
      </c>
      <c r="P52" s="46">
        <f t="shared" si="7"/>
        <v>9974.9346272508283</v>
      </c>
      <c r="Q52" s="46">
        <f t="shared" si="7"/>
        <v>10837.810231087984</v>
      </c>
      <c r="R52" s="46">
        <f t="shared" si="7"/>
        <v>11714.322396702364</v>
      </c>
      <c r="S52" s="46">
        <f t="shared" si="7"/>
        <v>12604.638047519125</v>
      </c>
      <c r="T52" s="46">
        <f t="shared" si="7"/>
        <v>13508.925938469534</v>
      </c>
    </row>
    <row r="53" spans="2:20" ht="12.95" customHeight="1" outlineLevel="1" x14ac:dyDescent="0.2">
      <c r="B53" s="49"/>
      <c r="C53" s="49" t="str">
        <f>'PROYEKSI KONSUMSI'!C53</f>
        <v xml:space="preserve">     Subtotal Sayur dan Buah</v>
      </c>
      <c r="D53" s="43">
        <f>'PROYEKSI KONSUMSI'!W53*110%</f>
        <v>70.666192688307405</v>
      </c>
      <c r="E53" s="43">
        <f>'PROYEKSI KONSUMSI'!X53*110%</f>
        <v>64.724431225968871</v>
      </c>
      <c r="F53" s="43">
        <f>'PROYEKSI KONSUMSI'!Y53*110%</f>
        <v>70.666192688307405</v>
      </c>
      <c r="G53" s="43">
        <f>'PROYEKSI KONSUMSI'!Z53*110%</f>
        <v>76.607954150645909</v>
      </c>
      <c r="H53" s="43">
        <f>'PROYEKSI KONSUMSI'!AA53*110%</f>
        <v>82.549715612984429</v>
      </c>
      <c r="I53" s="43">
        <f>'PROYEKSI KONSUMSI'!AB53*110%</f>
        <v>88.491477075322976</v>
      </c>
      <c r="J53" s="43">
        <f>'PROYEKSI KONSUMSI'!AC53*110%</f>
        <v>94.433238537661481</v>
      </c>
      <c r="K53" s="43">
        <f>'PROYEKSI KONSUMSI'!AD53*110%</f>
        <v>100.37500000000001</v>
      </c>
      <c r="L53" s="40"/>
      <c r="M53" s="46">
        <f t="shared" si="7"/>
        <v>31812.930621578358</v>
      </c>
      <c r="N53" s="46">
        <f t="shared" si="7"/>
        <v>28898.177919164955</v>
      </c>
      <c r="O53" s="46">
        <f t="shared" si="7"/>
        <v>31812.930621578358</v>
      </c>
      <c r="P53" s="46">
        <f t="shared" si="7"/>
        <v>34774.077423374962</v>
      </c>
      <c r="Q53" s="46">
        <f t="shared" si="7"/>
        <v>37782.18766929087</v>
      </c>
      <c r="R53" s="46">
        <f t="shared" si="7"/>
        <v>40837.836959095308</v>
      </c>
      <c r="S53" s="46">
        <f t="shared" si="7"/>
        <v>43941.607212201932</v>
      </c>
      <c r="T53" s="46">
        <f t="shared" si="7"/>
        <v>47094.086732922035</v>
      </c>
    </row>
    <row r="54" spans="2:20" ht="12.95" customHeight="1" outlineLevel="2" x14ac:dyDescent="0.2">
      <c r="B54" s="37"/>
      <c r="C54" s="38" t="str">
        <f>'PROYEKSI KONSUMSI'!C54</f>
        <v xml:space="preserve"> 9. Lain-lain</v>
      </c>
      <c r="D54" s="51"/>
      <c r="E54" s="52"/>
      <c r="F54" s="52"/>
      <c r="G54" s="52"/>
      <c r="H54" s="52"/>
      <c r="I54" s="52"/>
      <c r="J54" s="52"/>
      <c r="K54" s="53"/>
      <c r="L54" s="40"/>
      <c r="M54" s="54"/>
      <c r="N54" s="55"/>
      <c r="O54" s="55"/>
      <c r="P54" s="55"/>
      <c r="Q54" s="55"/>
      <c r="R54" s="55"/>
      <c r="S54" s="55"/>
      <c r="T54" s="56"/>
    </row>
    <row r="55" spans="2:20" ht="12.95" customHeight="1" outlineLevel="2" x14ac:dyDescent="0.2">
      <c r="B55" s="41">
        <v>30</v>
      </c>
      <c r="C55" s="37" t="str">
        <f>'PROYEKSI KONSUMSI'!C55</f>
        <v xml:space="preserve">     Minuman</v>
      </c>
      <c r="D55" s="43">
        <f>'PROYEKSI KONSUMSI'!W55*110%</f>
        <v>37.23864227346624</v>
      </c>
      <c r="E55" s="43">
        <f>'PROYEKSI KONSUMSI'!X55*110%</f>
        <v>44.686370728159488</v>
      </c>
      <c r="F55" s="43">
        <f>'PROYEKSI KONSUMSI'!Y55*110%</f>
        <v>37.23864227346624</v>
      </c>
      <c r="G55" s="43">
        <f>'PROYEKSI KONSUMSI'!Z55*110%</f>
        <v>29.790913818772989</v>
      </c>
      <c r="H55" s="43">
        <f>'PROYEKSI KONSUMSI'!AA55*110%</f>
        <v>22.343185364079744</v>
      </c>
      <c r="I55" s="43">
        <f>'PROYEKSI KONSUMSI'!AB55*110%</f>
        <v>14.8954569093865</v>
      </c>
      <c r="J55" s="43">
        <f>'PROYEKSI KONSUMSI'!AC55*110%</f>
        <v>7.4477284546932498</v>
      </c>
      <c r="K55" s="43">
        <f>'PROYEKSI KONSUMSI'!AD55*110%</f>
        <v>0</v>
      </c>
      <c r="L55" s="40"/>
      <c r="M55" s="46">
        <f t="shared" ref="M55:T57" si="8">D55*M$63/1000</f>
        <v>16764.315410522675</v>
      </c>
      <c r="N55" s="46">
        <f t="shared" si="8"/>
        <v>19951.580375510472</v>
      </c>
      <c r="O55" s="46">
        <f t="shared" si="8"/>
        <v>16764.315410522675</v>
      </c>
      <c r="P55" s="46">
        <f t="shared" si="8"/>
        <v>13522.767382744007</v>
      </c>
      <c r="Q55" s="46">
        <f t="shared" si="8"/>
        <v>10226.254764015586</v>
      </c>
      <c r="R55" s="46">
        <f t="shared" si="8"/>
        <v>6874.0884523712793</v>
      </c>
      <c r="S55" s="46">
        <f t="shared" si="8"/>
        <v>3465.5716932629807</v>
      </c>
      <c r="T55" s="46">
        <f t="shared" si="8"/>
        <v>0</v>
      </c>
    </row>
    <row r="56" spans="2:20" ht="12.95" customHeight="1" outlineLevel="2" x14ac:dyDescent="0.2">
      <c r="B56" s="41">
        <v>31</v>
      </c>
      <c r="C56" s="37" t="str">
        <f>'PROYEKSI KONSUMSI'!C56</f>
        <v xml:space="preserve">     Bumbu</v>
      </c>
      <c r="D56" s="43">
        <f>'PROYEKSI KONSUMSI'!W56*110%</f>
        <v>374.36781650554104</v>
      </c>
      <c r="E56" s="43">
        <f>'PROYEKSI KONSUMSI'!X56*110%</f>
        <v>449.24137980664921</v>
      </c>
      <c r="F56" s="43">
        <f>'PROYEKSI KONSUMSI'!Y56*110%</f>
        <v>374.3678165055411</v>
      </c>
      <c r="G56" s="43">
        <f>'PROYEKSI KONSUMSI'!Z56*110%</f>
        <v>299.49425320443282</v>
      </c>
      <c r="H56" s="43">
        <f>'PROYEKSI KONSUMSI'!AA56*110%</f>
        <v>224.6206899033246</v>
      </c>
      <c r="I56" s="43">
        <f>'PROYEKSI KONSUMSI'!AB56*110%</f>
        <v>149.74712660221641</v>
      </c>
      <c r="J56" s="43">
        <f>'PROYEKSI KONSUMSI'!AC56*110%</f>
        <v>74.873563301108206</v>
      </c>
      <c r="K56" s="43">
        <f>'PROYEKSI KONSUMSI'!AD56*110%</f>
        <v>0</v>
      </c>
      <c r="L56" s="40"/>
      <c r="M56" s="46">
        <f t="shared" si="8"/>
        <v>168535.14984136348</v>
      </c>
      <c r="N56" s="46">
        <f t="shared" si="8"/>
        <v>200577.38749344062</v>
      </c>
      <c r="O56" s="46">
        <f t="shared" si="8"/>
        <v>168535.14984136351</v>
      </c>
      <c r="P56" s="46">
        <f t="shared" si="8"/>
        <v>135947.19326803743</v>
      </c>
      <c r="Q56" s="46">
        <f t="shared" si="8"/>
        <v>102806.66622912161</v>
      </c>
      <c r="R56" s="46">
        <f t="shared" si="8"/>
        <v>69106.641039215552</v>
      </c>
      <c r="S56" s="46">
        <f t="shared" si="8"/>
        <v>34840.11307992052</v>
      </c>
      <c r="T56" s="46">
        <f t="shared" si="8"/>
        <v>0</v>
      </c>
    </row>
    <row r="57" spans="2:20" ht="12.95" customHeight="1" outlineLevel="1" x14ac:dyDescent="0.2">
      <c r="B57" s="49"/>
      <c r="C57" s="49" t="str">
        <f>'PROYEKSI KONSUMSI'!C57</f>
        <v xml:space="preserve">     Subtotal Lain-lain</v>
      </c>
      <c r="D57" s="43">
        <f>'PROYEKSI KONSUMSI'!W57*110%</f>
        <v>411.60645877900726</v>
      </c>
      <c r="E57" s="43">
        <f>'PROYEKSI KONSUMSI'!X57*110%</f>
        <v>493.92775053480869</v>
      </c>
      <c r="F57" s="43">
        <f>'PROYEKSI KONSUMSI'!Y57*110%</f>
        <v>411.60645877900726</v>
      </c>
      <c r="G57" s="43">
        <f>'PROYEKSI KONSUMSI'!Z57*110%</f>
        <v>329.28516702320582</v>
      </c>
      <c r="H57" s="43">
        <f>'PROYEKSI KONSUMSI'!AA57*110%</f>
        <v>246.96387526740435</v>
      </c>
      <c r="I57" s="43">
        <f>'PROYEKSI KONSUMSI'!AB57*110%</f>
        <v>164.64258351160291</v>
      </c>
      <c r="J57" s="43">
        <f>'PROYEKSI KONSUMSI'!AC57*110%</f>
        <v>82.321291755801454</v>
      </c>
      <c r="K57" s="43">
        <f>'PROYEKSI KONSUMSI'!AD57*110%</f>
        <v>0</v>
      </c>
      <c r="L57" s="40"/>
      <c r="M57" s="46">
        <f t="shared" si="8"/>
        <v>185299.46525188617</v>
      </c>
      <c r="N57" s="46">
        <f t="shared" si="8"/>
        <v>220528.96786895112</v>
      </c>
      <c r="O57" s="46">
        <f t="shared" si="8"/>
        <v>185299.46525188617</v>
      </c>
      <c r="P57" s="46">
        <f t="shared" si="8"/>
        <v>149469.96065078146</v>
      </c>
      <c r="Q57" s="46">
        <f t="shared" si="8"/>
        <v>113032.9209931372</v>
      </c>
      <c r="R57" s="46">
        <f t="shared" si="8"/>
        <v>75980.729491586841</v>
      </c>
      <c r="S57" s="46">
        <f t="shared" si="8"/>
        <v>38305.684773183501</v>
      </c>
      <c r="T57" s="46">
        <f t="shared" si="8"/>
        <v>0</v>
      </c>
    </row>
    <row r="58" spans="2:20" ht="12.95" customHeight="1" x14ac:dyDescent="0.2">
      <c r="B58" s="66"/>
      <c r="C58" s="66"/>
    </row>
    <row r="59" spans="2:20" ht="12.95" customHeight="1" x14ac:dyDescent="0.2">
      <c r="B59" s="66"/>
      <c r="C59" s="66"/>
      <c r="M59" s="16" t="str">
        <f>CONCATENATE("Jumlah Penduduk Pertengahann Tahun ", BASELINE!C12)</f>
        <v>Jumlah Penduduk Pertengahann Tahun 2015</v>
      </c>
      <c r="O59" s="48">
        <f>BASELINE!C20</f>
        <v>450186</v>
      </c>
      <c r="P59" s="67" t="s">
        <v>169</v>
      </c>
    </row>
    <row r="60" spans="2:20" ht="12.95" customHeight="1" x14ac:dyDescent="0.2">
      <c r="B60" s="66"/>
      <c r="C60" s="66"/>
      <c r="M60" s="16" t="s">
        <v>219</v>
      </c>
      <c r="O60" s="68">
        <f>BASELINE!$C$21</f>
        <v>0.83</v>
      </c>
      <c r="P60" s="69" t="s">
        <v>220</v>
      </c>
    </row>
    <row r="61" spans="2:20" ht="12.95" customHeight="1" x14ac:dyDescent="0.2">
      <c r="B61" s="66"/>
      <c r="C61" s="66"/>
      <c r="M61" s="17"/>
      <c r="N61" s="17"/>
    </row>
    <row r="62" spans="2:20" ht="12.95" customHeight="1" x14ac:dyDescent="0.2">
      <c r="B62" s="66"/>
      <c r="C62" s="66"/>
      <c r="M62" s="70" t="str">
        <f t="shared" ref="M62" si="9">CONCATENATE("Tahun ",M11)</f>
        <v>Tahun 2015</v>
      </c>
      <c r="N62" s="70" t="str">
        <f t="shared" ref="N62:T62" si="10">CONCATENATE("Tahun ",N11)</f>
        <v>Tahun 2014</v>
      </c>
      <c r="O62" s="70" t="str">
        <f t="shared" si="10"/>
        <v>Tahun 2015</v>
      </c>
      <c r="P62" s="70" t="str">
        <f t="shared" si="10"/>
        <v>Tahun 2016</v>
      </c>
      <c r="Q62" s="70" t="str">
        <f t="shared" si="10"/>
        <v>Tahun 2017</v>
      </c>
      <c r="R62" s="70" t="str">
        <f t="shared" si="10"/>
        <v>Tahun 2018</v>
      </c>
      <c r="S62" s="70" t="str">
        <f t="shared" si="10"/>
        <v>Tahun 2019</v>
      </c>
      <c r="T62" s="70" t="str">
        <f t="shared" si="10"/>
        <v>Tahun 2020</v>
      </c>
    </row>
    <row r="63" spans="2:20" ht="12.95" customHeight="1" x14ac:dyDescent="0.2">
      <c r="B63" s="66"/>
      <c r="C63" s="66"/>
      <c r="M63" s="47">
        <f>BASELINE!$C$20*(1+BASELINE!$C$21/100)^(M$11-$M$11)</f>
        <v>450186</v>
      </c>
      <c r="N63" s="47">
        <f>BASELINE!$C$20*(1+BASELINE!$C$21/100)^(N$11-$M$11)</f>
        <v>446480.21422195778</v>
      </c>
      <c r="O63" s="47">
        <f>BASELINE!$C$20*(1+BASELINE!$C$21/100)^(O$11-$M$11)</f>
        <v>450186</v>
      </c>
      <c r="P63" s="47">
        <f>BASELINE!$C$20*(1+BASELINE!$C$21/100)^(P$11-$M$11)</f>
        <v>453922.54379999998</v>
      </c>
      <c r="Q63" s="47">
        <f>BASELINE!$C$20*(1+BASELINE!$C$21/100)^(Q$11-$M$11)</f>
        <v>457690.10091353999</v>
      </c>
      <c r="R63" s="47">
        <f>BASELINE!$C$20*(1+BASELINE!$C$21/100)^(R$11-$M$11)</f>
        <v>461488.92875112238</v>
      </c>
      <c r="S63" s="47">
        <f>BASELINE!$C$20*(1+BASELINE!$C$21/100)^(S$11-$M$11)</f>
        <v>465319.28685975668</v>
      </c>
      <c r="T63" s="47">
        <f>BASELINE!$C$20*(1+BASELINE!$C$21/100)^(T$11-$M$11)</f>
        <v>469181.43694069266</v>
      </c>
    </row>
    <row r="64" spans="2:20" ht="12.95" customHeight="1" x14ac:dyDescent="0.2">
      <c r="B64" s="66"/>
      <c r="C64" s="66"/>
    </row>
    <row r="65" spans="2:3" ht="12.95" customHeight="1" x14ac:dyDescent="0.2">
      <c r="B65" s="66"/>
      <c r="C65" s="66"/>
    </row>
    <row r="66" spans="2:3" ht="12.95" customHeight="1" x14ac:dyDescent="0.2">
      <c r="B66" s="66"/>
      <c r="C66" s="66"/>
    </row>
    <row r="67" spans="2:3" ht="12.95" customHeight="1" x14ac:dyDescent="0.2">
      <c r="B67" s="66"/>
      <c r="C67" s="66"/>
    </row>
    <row r="68" spans="2:3" ht="12.95" customHeight="1" x14ac:dyDescent="0.2">
      <c r="B68" s="66"/>
      <c r="C68" s="66"/>
    </row>
    <row r="69" spans="2:3" ht="12.95" customHeight="1" x14ac:dyDescent="0.2">
      <c r="B69" s="66"/>
      <c r="C69" s="66"/>
    </row>
    <row r="70" spans="2:3" ht="12.95" customHeight="1" x14ac:dyDescent="0.2">
      <c r="B70" s="66"/>
      <c r="C70" s="66"/>
    </row>
    <row r="71" spans="2:3" ht="12.95" customHeight="1" x14ac:dyDescent="0.2">
      <c r="B71" s="66"/>
      <c r="C71" s="66"/>
    </row>
    <row r="72" spans="2:3" ht="12.95" customHeight="1" x14ac:dyDescent="0.2">
      <c r="B72" s="66"/>
      <c r="C72" s="66"/>
    </row>
    <row r="73" spans="2:3" ht="12.95" customHeight="1" x14ac:dyDescent="0.2">
      <c r="B73" s="66"/>
      <c r="C73" s="66"/>
    </row>
    <row r="74" spans="2:3" ht="12.95" customHeight="1" x14ac:dyDescent="0.2">
      <c r="B74" s="66"/>
      <c r="C74" s="66"/>
    </row>
    <row r="75" spans="2:3" ht="12.95" customHeight="1" x14ac:dyDescent="0.2">
      <c r="B75" s="66"/>
      <c r="C75" s="66"/>
    </row>
    <row r="76" spans="2:3" ht="12.95" customHeight="1" x14ac:dyDescent="0.2">
      <c r="B76" s="66"/>
      <c r="C76" s="66"/>
    </row>
    <row r="77" spans="2:3" ht="12.95" customHeight="1" x14ac:dyDescent="0.2">
      <c r="B77" s="66"/>
      <c r="C77" s="66"/>
    </row>
  </sheetData>
  <mergeCells count="8">
    <mergeCell ref="M9:T9"/>
    <mergeCell ref="M12:T12"/>
    <mergeCell ref="N10:T10"/>
    <mergeCell ref="B9:B11"/>
    <mergeCell ref="C9:C11"/>
    <mergeCell ref="D9:K9"/>
    <mergeCell ref="E10:K10"/>
    <mergeCell ref="D12:K12"/>
  </mergeCells>
  <hyperlinks>
    <hyperlink ref="B1" location="MENU!A1" display="KEMBALI KE MENU UTAMA"/>
  </hyperlinks>
  <pageMargins left="0.70866141732283472" right="0.70866141732283472" top="0.74803149606299213" bottom="0.74803149606299213" header="0.31496062992125984" footer="0.31496062992125984"/>
  <pageSetup paperSize="9" scale="63" fitToWidth="0"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M44"/>
  <sheetViews>
    <sheetView zoomScale="75" zoomScaleNormal="75" workbookViewId="0">
      <selection activeCell="L5" sqref="L5"/>
    </sheetView>
  </sheetViews>
  <sheetFormatPr defaultRowHeight="12.75" x14ac:dyDescent="0.2"/>
  <cols>
    <col min="1" max="1" width="10.7109375" style="16" customWidth="1"/>
    <col min="2" max="2" width="10.5703125" style="22" customWidth="1"/>
    <col min="3" max="3" width="57.42578125" style="16" customWidth="1"/>
    <col min="4" max="12" width="17.42578125" style="16" customWidth="1"/>
    <col min="13" max="16384" width="9.140625" style="16"/>
  </cols>
  <sheetData>
    <row r="2" spans="2:13" x14ac:dyDescent="0.2">
      <c r="B2" s="409"/>
      <c r="C2" s="409"/>
      <c r="D2" s="409"/>
      <c r="E2" s="409"/>
    </row>
    <row r="4" spans="2:13" x14ac:dyDescent="0.2">
      <c r="B4" s="7" t="str">
        <f>UPPER(BASELINE!$C$8)</f>
        <v>BADAN KETAHANAN PANGAN DAN PENYULUHAN</v>
      </c>
      <c r="L4" s="26" t="s">
        <v>334</v>
      </c>
    </row>
    <row r="5" spans="2:13" x14ac:dyDescent="0.2">
      <c r="B5" s="7" t="str">
        <f>UPPER(CONCATENATE(IF(UPPER(BASELINE!$C$7)="INDONESIA","KEMENTRIAN PERTANIAN","PROPINSI "),BASELINE!$C$7))</f>
        <v>PROPINSI SUMATERA BARAT</v>
      </c>
      <c r="G5" s="29"/>
      <c r="H5" s="29"/>
      <c r="I5" s="24"/>
      <c r="L5" s="27" t="str">
        <f>'SKOR PPH'!M5</f>
        <v>BERDASARKAN DATA SURVEY SOSIAL EKONOMI NASIONAL</v>
      </c>
    </row>
    <row r="6" spans="2:13" x14ac:dyDescent="0.2">
      <c r="B6" s="7" t="str">
        <f>UPPER(BASELINE!$C$9)</f>
        <v>JL H AGUS SALIM PAINAN</v>
      </c>
      <c r="L6" s="26" t="str">
        <f>UPPER(CONCATENATE(" TAHUN ",BASELINE!$C$12))</f>
        <v xml:space="preserve"> TAHUN 2015</v>
      </c>
    </row>
    <row r="8" spans="2:13" ht="12.75" customHeight="1" x14ac:dyDescent="0.2">
      <c r="B8" s="351" t="s">
        <v>170</v>
      </c>
      <c r="C8" s="351" t="s">
        <v>333</v>
      </c>
      <c r="D8" s="358" t="s">
        <v>171</v>
      </c>
      <c r="E8" s="358"/>
      <c r="F8" s="358"/>
      <c r="G8" s="358"/>
      <c r="H8" s="358"/>
      <c r="I8" s="358"/>
      <c r="J8" s="358"/>
      <c r="K8" s="358"/>
      <c r="L8" s="358"/>
    </row>
    <row r="9" spans="2:13" ht="25.5" customHeight="1" x14ac:dyDescent="0.2">
      <c r="B9" s="351"/>
      <c r="C9" s="351"/>
      <c r="D9" s="20" t="s">
        <v>175</v>
      </c>
      <c r="E9" s="20" t="s">
        <v>176</v>
      </c>
      <c r="F9" s="20" t="s">
        <v>351</v>
      </c>
      <c r="G9" s="20" t="s">
        <v>352</v>
      </c>
      <c r="H9" s="20" t="s">
        <v>353</v>
      </c>
      <c r="I9" s="20" t="s">
        <v>180</v>
      </c>
      <c r="J9" s="20" t="s">
        <v>181</v>
      </c>
      <c r="K9" s="20" t="s">
        <v>354</v>
      </c>
      <c r="L9" s="20" t="s">
        <v>183</v>
      </c>
    </row>
    <row r="10" spans="2:13" x14ac:dyDescent="0.2">
      <c r="B10" s="406"/>
      <c r="C10" s="407"/>
      <c r="D10" s="407"/>
      <c r="E10" s="407"/>
      <c r="F10" s="407"/>
      <c r="G10" s="407"/>
      <c r="H10" s="407"/>
      <c r="I10" s="407"/>
      <c r="J10" s="407"/>
      <c r="K10" s="407"/>
      <c r="L10" s="408"/>
    </row>
    <row r="11" spans="2:13" x14ac:dyDescent="0.2">
      <c r="B11" s="13">
        <v>0</v>
      </c>
      <c r="C11" s="14" t="s">
        <v>369</v>
      </c>
      <c r="D11" s="15">
        <v>0.98931122675860594</v>
      </c>
      <c r="E11" s="15">
        <v>1.0266510447876029</v>
      </c>
      <c r="F11" s="15">
        <v>1.1095062860187581</v>
      </c>
      <c r="G11" s="15">
        <v>1.1361029180543827</v>
      </c>
      <c r="H11" s="15">
        <v>1.4401263106713063</v>
      </c>
      <c r="I11" s="15">
        <v>1.0941948316932406</v>
      </c>
      <c r="J11" s="15">
        <v>1.2940520023094573</v>
      </c>
      <c r="K11" s="15">
        <v>1.2527135885199909</v>
      </c>
      <c r="L11" s="15">
        <v>0.91964221566576798</v>
      </c>
      <c r="M11" s="21"/>
    </row>
    <row r="12" spans="2:13" x14ac:dyDescent="0.2">
      <c r="B12" s="13">
        <v>1</v>
      </c>
      <c r="C12" s="14" t="s">
        <v>372</v>
      </c>
      <c r="D12" s="15">
        <v>0.97819999999999996</v>
      </c>
      <c r="E12" s="15">
        <v>0.93840000000000001</v>
      </c>
      <c r="F12" s="15">
        <v>1.0751999999999999</v>
      </c>
      <c r="G12" s="15">
        <v>1.2221</v>
      </c>
      <c r="H12" s="15">
        <v>1.3319000000000001</v>
      </c>
      <c r="I12" s="15">
        <v>1.109</v>
      </c>
      <c r="J12" s="15">
        <v>1.268</v>
      </c>
      <c r="K12" s="15">
        <v>1.1805000000000001</v>
      </c>
      <c r="L12" s="15">
        <v>0.88939999999999997</v>
      </c>
      <c r="M12" s="21"/>
    </row>
    <row r="13" spans="2:13" x14ac:dyDescent="0.2">
      <c r="B13" s="13">
        <v>2</v>
      </c>
      <c r="C13" s="14" t="s">
        <v>335</v>
      </c>
      <c r="D13" s="15">
        <v>1.0793999999999999</v>
      </c>
      <c r="E13" s="15">
        <v>1.2238</v>
      </c>
      <c r="F13" s="15">
        <v>1.1072</v>
      </c>
      <c r="G13" s="15">
        <v>1.2594000000000001</v>
      </c>
      <c r="H13" s="15">
        <v>1.3797999999999999</v>
      </c>
      <c r="I13" s="15">
        <v>0.9829</v>
      </c>
      <c r="J13" s="15">
        <v>1.1772</v>
      </c>
      <c r="K13" s="15">
        <v>1.3189</v>
      </c>
      <c r="L13" s="15">
        <v>1.1088</v>
      </c>
      <c r="M13" s="21"/>
    </row>
    <row r="14" spans="2:13" x14ac:dyDescent="0.2">
      <c r="B14" s="13">
        <v>3</v>
      </c>
      <c r="C14" s="14" t="s">
        <v>336</v>
      </c>
      <c r="D14" s="15">
        <v>1.0383</v>
      </c>
      <c r="E14" s="15">
        <v>0.9657</v>
      </c>
      <c r="F14" s="15">
        <v>1.0833999999999999</v>
      </c>
      <c r="G14" s="15">
        <v>1.1267</v>
      </c>
      <c r="H14" s="15">
        <v>1.4052</v>
      </c>
      <c r="I14" s="15">
        <v>1.5347</v>
      </c>
      <c r="J14" s="15">
        <v>1.3011999999999999</v>
      </c>
      <c r="K14" s="15">
        <v>1.4048</v>
      </c>
      <c r="L14" s="15">
        <v>1.2181999999999999</v>
      </c>
      <c r="M14" s="21"/>
    </row>
    <row r="15" spans="2:13" x14ac:dyDescent="0.2">
      <c r="B15" s="13">
        <v>4</v>
      </c>
      <c r="C15" s="14" t="s">
        <v>337</v>
      </c>
      <c r="D15" s="15">
        <v>1.0009999999999999</v>
      </c>
      <c r="E15" s="15">
        <v>0.92259999999999998</v>
      </c>
      <c r="F15" s="15">
        <v>1.1254</v>
      </c>
      <c r="G15" s="15">
        <v>1.0323</v>
      </c>
      <c r="H15" s="15">
        <v>1.2765</v>
      </c>
      <c r="I15" s="15">
        <v>1.2664</v>
      </c>
      <c r="J15" s="15">
        <v>1.1685000000000001</v>
      </c>
      <c r="K15" s="15">
        <v>1.1802999999999999</v>
      </c>
      <c r="L15" s="15">
        <v>1.0952999999999999</v>
      </c>
      <c r="M15" s="21"/>
    </row>
    <row r="16" spans="2:13" x14ac:dyDescent="0.2">
      <c r="B16" s="13">
        <v>5</v>
      </c>
      <c r="C16" s="14" t="s">
        <v>338</v>
      </c>
      <c r="D16" s="15">
        <v>1.1142000000000001</v>
      </c>
      <c r="E16" s="15">
        <v>1.4326000000000001</v>
      </c>
      <c r="F16" s="15">
        <v>1.3436999999999999</v>
      </c>
      <c r="G16" s="15">
        <v>1.1523000000000001</v>
      </c>
      <c r="H16" s="15">
        <v>2.1223999999999998</v>
      </c>
      <c r="I16" s="15">
        <v>1.2068000000000001</v>
      </c>
      <c r="J16" s="15">
        <v>1.3480000000000001</v>
      </c>
      <c r="K16" s="15">
        <v>1.3616999999999999</v>
      </c>
      <c r="L16" s="15">
        <v>1.2384999999999999</v>
      </c>
      <c r="M16" s="21"/>
    </row>
    <row r="17" spans="2:13" x14ac:dyDescent="0.2">
      <c r="B17" s="13">
        <v>6</v>
      </c>
      <c r="C17" s="14" t="s">
        <v>339</v>
      </c>
      <c r="D17" s="15">
        <v>1.0345</v>
      </c>
      <c r="E17" s="15">
        <v>1.0275000000000001</v>
      </c>
      <c r="F17" s="15">
        <v>1.1884999999999999</v>
      </c>
      <c r="G17" s="15">
        <v>1.1917</v>
      </c>
      <c r="H17" s="15">
        <v>1.7608999999999999</v>
      </c>
      <c r="I17" s="15">
        <v>1.1489</v>
      </c>
      <c r="J17" s="15">
        <v>1.2019</v>
      </c>
      <c r="K17" s="15">
        <v>1.2221</v>
      </c>
      <c r="L17" s="15">
        <v>0.8982</v>
      </c>
      <c r="M17" s="21"/>
    </row>
    <row r="18" spans="2:13" x14ac:dyDescent="0.2">
      <c r="B18" s="13">
        <v>7</v>
      </c>
      <c r="C18" s="14" t="s">
        <v>340</v>
      </c>
      <c r="D18" s="15">
        <v>0.98680000000000001</v>
      </c>
      <c r="E18" s="15">
        <v>0.99860000000000004</v>
      </c>
      <c r="F18" s="15">
        <v>1.0745</v>
      </c>
      <c r="G18" s="15">
        <v>1.1526000000000001</v>
      </c>
      <c r="H18" s="15">
        <v>2.0891000000000002</v>
      </c>
      <c r="I18" s="15">
        <v>1.0363</v>
      </c>
      <c r="J18" s="15">
        <v>1.1667000000000001</v>
      </c>
      <c r="K18" s="15">
        <v>1.3207</v>
      </c>
      <c r="L18" s="15">
        <v>0.94410000000000005</v>
      </c>
      <c r="M18" s="21"/>
    </row>
    <row r="19" spans="2:13" x14ac:dyDescent="0.2">
      <c r="B19" s="13">
        <v>8</v>
      </c>
      <c r="C19" s="14" t="s">
        <v>341</v>
      </c>
      <c r="D19" s="15">
        <v>0.89790000000000003</v>
      </c>
      <c r="E19" s="15">
        <v>0.87370000000000003</v>
      </c>
      <c r="F19" s="15">
        <v>0.97889999999999999</v>
      </c>
      <c r="G19" s="15">
        <v>1.0019</v>
      </c>
      <c r="H19" s="15">
        <v>1.1957</v>
      </c>
      <c r="I19" s="15">
        <v>1.2946</v>
      </c>
      <c r="J19" s="15">
        <v>0.95960000000000001</v>
      </c>
      <c r="K19" s="15">
        <v>1.1763999999999999</v>
      </c>
      <c r="L19" s="15">
        <v>0.68359999999999999</v>
      </c>
      <c r="M19" s="21"/>
    </row>
    <row r="20" spans="2:13" x14ac:dyDescent="0.2">
      <c r="B20" s="13">
        <v>9</v>
      </c>
      <c r="C20" s="14" t="s">
        <v>342</v>
      </c>
      <c r="D20" s="15">
        <v>1.0348999999999999</v>
      </c>
      <c r="E20" s="15">
        <v>0.97870000000000001</v>
      </c>
      <c r="F20" s="15">
        <v>1.1363000000000001</v>
      </c>
      <c r="G20" s="15">
        <v>1.1975</v>
      </c>
      <c r="H20" s="15">
        <v>1.5426</v>
      </c>
      <c r="I20" s="15">
        <v>1.0696000000000001</v>
      </c>
      <c r="J20" s="15">
        <v>1.2142999999999999</v>
      </c>
      <c r="K20" s="15">
        <v>1.2614000000000001</v>
      </c>
      <c r="L20" s="15">
        <v>1.2557</v>
      </c>
      <c r="M20" s="21"/>
    </row>
    <row r="21" spans="2:13" x14ac:dyDescent="0.2">
      <c r="B21" s="13">
        <v>10</v>
      </c>
      <c r="C21" s="14" t="s">
        <v>343</v>
      </c>
      <c r="D21" s="15">
        <v>1.1334</v>
      </c>
      <c r="E21" s="15">
        <v>1.214</v>
      </c>
      <c r="F21" s="15">
        <v>1.1460999999999999</v>
      </c>
      <c r="G21" s="15">
        <v>1.2689999999999999</v>
      </c>
      <c r="H21" s="15">
        <v>1.8886000000000001</v>
      </c>
      <c r="I21" s="15">
        <v>1.2947</v>
      </c>
      <c r="J21" s="15">
        <v>1.2524999999999999</v>
      </c>
      <c r="K21" s="15">
        <v>1.2564</v>
      </c>
      <c r="L21" s="15">
        <v>1.0533999999999999</v>
      </c>
      <c r="M21" s="21"/>
    </row>
    <row r="22" spans="2:13" x14ac:dyDescent="0.2">
      <c r="B22" s="13">
        <v>11</v>
      </c>
      <c r="C22" s="14" t="s">
        <v>344</v>
      </c>
      <c r="D22" s="15">
        <v>0.92490000000000006</v>
      </c>
      <c r="E22" s="15">
        <v>0.88770000000000004</v>
      </c>
      <c r="F22" s="15">
        <v>1.0670999999999999</v>
      </c>
      <c r="G22" s="15">
        <v>1.0817000000000001</v>
      </c>
      <c r="H22" s="15">
        <v>1.373</v>
      </c>
      <c r="I22" s="15">
        <v>1.1032999999999999</v>
      </c>
      <c r="J22" s="15">
        <v>1.3139000000000001</v>
      </c>
      <c r="K22" s="15">
        <v>1.2011000000000001</v>
      </c>
      <c r="L22" s="15">
        <v>1.1778999999999999</v>
      </c>
      <c r="M22" s="21"/>
    </row>
    <row r="23" spans="2:13" x14ac:dyDescent="0.2">
      <c r="B23" s="13">
        <v>12</v>
      </c>
      <c r="C23" s="14" t="s">
        <v>345</v>
      </c>
      <c r="D23" s="15">
        <v>1.0349999999999999</v>
      </c>
      <c r="E23" s="15">
        <v>0.96209999999999996</v>
      </c>
      <c r="F23" s="15">
        <v>1.1407</v>
      </c>
      <c r="G23" s="15">
        <v>1.2251000000000001</v>
      </c>
      <c r="H23" s="15">
        <v>1.5209999999999999</v>
      </c>
      <c r="I23" s="15">
        <v>0.996</v>
      </c>
      <c r="J23" s="15">
        <v>1.4237</v>
      </c>
      <c r="K23" s="15">
        <v>1.2830999999999999</v>
      </c>
      <c r="L23" s="15">
        <v>0.8347</v>
      </c>
      <c r="M23" s="21"/>
    </row>
    <row r="24" spans="2:13" ht="12.75" customHeight="1" x14ac:dyDescent="0.2">
      <c r="B24" s="13">
        <v>13</v>
      </c>
      <c r="C24" s="14" t="s">
        <v>346</v>
      </c>
      <c r="D24" s="15">
        <v>1.0702</v>
      </c>
      <c r="E24" s="15">
        <v>1.0472999999999999</v>
      </c>
      <c r="F24" s="15">
        <v>1.1614</v>
      </c>
      <c r="G24" s="15">
        <v>1.244</v>
      </c>
      <c r="H24" s="15">
        <v>1.3956</v>
      </c>
      <c r="I24" s="15">
        <v>1.1059000000000001</v>
      </c>
      <c r="J24" s="15">
        <v>1.3573999999999999</v>
      </c>
      <c r="K24" s="15">
        <v>1.3097000000000001</v>
      </c>
      <c r="L24" s="15">
        <v>0.82289999999999996</v>
      </c>
      <c r="M24" s="21"/>
    </row>
    <row r="25" spans="2:13" ht="12.75" customHeight="1" x14ac:dyDescent="0.2">
      <c r="B25" s="13">
        <v>14</v>
      </c>
      <c r="C25" s="14" t="s">
        <v>347</v>
      </c>
      <c r="D25" s="15">
        <v>1.0139</v>
      </c>
      <c r="E25" s="15">
        <v>0.9395</v>
      </c>
      <c r="F25" s="15">
        <v>1.0953999999999999</v>
      </c>
      <c r="G25" s="15">
        <v>1.0638000000000001</v>
      </c>
      <c r="H25" s="15">
        <v>1.3267</v>
      </c>
      <c r="I25" s="15">
        <v>1.0851999999999999</v>
      </c>
      <c r="J25" s="15">
        <v>1.3516999999999999</v>
      </c>
      <c r="K25" s="15">
        <v>1.2658</v>
      </c>
      <c r="L25" s="15">
        <v>0.82489999999999997</v>
      </c>
      <c r="M25" s="21"/>
    </row>
    <row r="26" spans="2:13" ht="12.75" customHeight="1" x14ac:dyDescent="0.2">
      <c r="B26" s="13">
        <v>15</v>
      </c>
      <c r="C26" s="14" t="s">
        <v>348</v>
      </c>
      <c r="D26" s="15">
        <v>1.1613</v>
      </c>
      <c r="E26" s="15">
        <v>1.0122</v>
      </c>
      <c r="F26" s="15">
        <v>1.1468</v>
      </c>
      <c r="G26" s="15">
        <v>1.0076000000000001</v>
      </c>
      <c r="H26" s="15">
        <v>1.2568999999999999</v>
      </c>
      <c r="I26" s="15">
        <v>1.006</v>
      </c>
      <c r="J26" s="15">
        <v>1.2495000000000001</v>
      </c>
      <c r="K26" s="15">
        <v>1.0923</v>
      </c>
      <c r="L26" s="15">
        <v>0.85719999999999996</v>
      </c>
      <c r="M26" s="21"/>
    </row>
    <row r="27" spans="2:13" ht="12.75" customHeight="1" x14ac:dyDescent="0.2">
      <c r="B27" s="13">
        <v>16</v>
      </c>
      <c r="C27" s="14" t="s">
        <v>349</v>
      </c>
      <c r="D27" s="15">
        <v>0.99870000000000003</v>
      </c>
      <c r="E27" s="15">
        <v>0.92449999999999999</v>
      </c>
      <c r="F27" s="15">
        <v>1.0213000000000001</v>
      </c>
      <c r="G27" s="15">
        <v>1.0531999999999999</v>
      </c>
      <c r="H27" s="15">
        <v>1.2965</v>
      </c>
      <c r="I27" s="15">
        <v>1.0350999999999999</v>
      </c>
      <c r="J27" s="15">
        <v>1.278</v>
      </c>
      <c r="K27" s="15">
        <v>1.1679999999999999</v>
      </c>
      <c r="L27" s="15">
        <v>0.87329999999999997</v>
      </c>
      <c r="M27" s="21"/>
    </row>
    <row r="28" spans="2:13" ht="12.75" customHeight="1" x14ac:dyDescent="0.2">
      <c r="B28" s="13">
        <v>17</v>
      </c>
      <c r="C28" s="14" t="s">
        <v>350</v>
      </c>
      <c r="D28" s="15">
        <v>1.0418000000000001</v>
      </c>
      <c r="E28" s="15">
        <v>1.0549999999999999</v>
      </c>
      <c r="F28" s="15">
        <v>1.3664000000000001</v>
      </c>
      <c r="G28" s="15">
        <v>1.2794000000000001</v>
      </c>
      <c r="H28" s="15">
        <v>1.4520999999999999</v>
      </c>
      <c r="I28" s="15">
        <v>1.3483000000000001</v>
      </c>
      <c r="J28" s="15">
        <v>1.2828999999999999</v>
      </c>
      <c r="K28" s="15">
        <v>1.5689</v>
      </c>
      <c r="L28" s="15">
        <v>0.88529999999999998</v>
      </c>
      <c r="M28" s="21"/>
    </row>
    <row r="29" spans="2:13" x14ac:dyDescent="0.2">
      <c r="B29" s="13">
        <v>18</v>
      </c>
      <c r="C29" s="14" t="s">
        <v>373</v>
      </c>
      <c r="D29" s="15">
        <v>1.1069</v>
      </c>
      <c r="E29" s="15">
        <v>1.1859999999999999</v>
      </c>
      <c r="F29" s="15">
        <v>1.0596000000000001</v>
      </c>
      <c r="G29" s="15">
        <v>1.0861000000000001</v>
      </c>
      <c r="H29" s="15">
        <v>1.3348</v>
      </c>
      <c r="I29" s="15">
        <v>1.0711999999999999</v>
      </c>
      <c r="J29" s="15">
        <v>1.2834000000000001</v>
      </c>
      <c r="K29" s="15">
        <v>1.2054</v>
      </c>
      <c r="L29" s="15">
        <v>0.8821</v>
      </c>
      <c r="M29" s="21"/>
    </row>
    <row r="30" spans="2:13" x14ac:dyDescent="0.2">
      <c r="B30" s="13">
        <v>19</v>
      </c>
      <c r="C30" s="14" t="s">
        <v>374</v>
      </c>
      <c r="D30" s="15">
        <v>1.0627</v>
      </c>
      <c r="E30" s="15">
        <v>1.2084999999999999</v>
      </c>
      <c r="F30" s="15">
        <v>1.2265999999999999</v>
      </c>
      <c r="G30" s="15">
        <v>1.1669</v>
      </c>
      <c r="H30" s="15">
        <v>1.4884999999999999</v>
      </c>
      <c r="I30" s="15">
        <v>1.3173999999999999</v>
      </c>
      <c r="J30" s="15">
        <v>1.1771</v>
      </c>
      <c r="K30" s="15">
        <v>1.1834</v>
      </c>
      <c r="L30" s="15">
        <v>0.82299999999999995</v>
      </c>
      <c r="M30" s="21"/>
    </row>
    <row r="31" spans="2:13" x14ac:dyDescent="0.2">
      <c r="B31" s="13">
        <v>20</v>
      </c>
      <c r="C31" s="14" t="s">
        <v>355</v>
      </c>
      <c r="D31" s="15">
        <v>0.86919999999999997</v>
      </c>
      <c r="E31" s="15">
        <v>0.99429999999999996</v>
      </c>
      <c r="F31" s="15">
        <v>1.1912</v>
      </c>
      <c r="G31" s="15">
        <v>1.0093000000000001</v>
      </c>
      <c r="H31" s="15">
        <v>1.5895999999999999</v>
      </c>
      <c r="I31" s="15">
        <v>1.395</v>
      </c>
      <c r="J31" s="15">
        <v>1.1411</v>
      </c>
      <c r="K31" s="15">
        <v>1.3714</v>
      </c>
      <c r="L31" s="15">
        <v>0.84409999999999996</v>
      </c>
      <c r="M31" s="21"/>
    </row>
    <row r="32" spans="2:13" x14ac:dyDescent="0.2">
      <c r="B32" s="13">
        <v>21</v>
      </c>
      <c r="C32" s="14" t="s">
        <v>356</v>
      </c>
      <c r="D32" s="15">
        <v>0.95650000000000002</v>
      </c>
      <c r="E32" s="15">
        <v>0.95820000000000005</v>
      </c>
      <c r="F32" s="15">
        <v>1.1108</v>
      </c>
      <c r="G32" s="15">
        <v>1.0905</v>
      </c>
      <c r="H32" s="15">
        <v>1.4505999999999999</v>
      </c>
      <c r="I32" s="15">
        <v>1.288</v>
      </c>
      <c r="J32" s="15">
        <v>1.2497</v>
      </c>
      <c r="K32" s="15">
        <v>1.3092999999999999</v>
      </c>
      <c r="L32" s="15">
        <v>0.8619</v>
      </c>
      <c r="M32" s="21"/>
    </row>
    <row r="33" spans="2:13" x14ac:dyDescent="0.2">
      <c r="B33" s="13">
        <v>22</v>
      </c>
      <c r="C33" s="14" t="s">
        <v>357</v>
      </c>
      <c r="D33" s="15">
        <v>0.94520000000000004</v>
      </c>
      <c r="E33" s="15">
        <v>0.92290000000000005</v>
      </c>
      <c r="F33" s="15">
        <v>1.0084</v>
      </c>
      <c r="G33" s="15">
        <v>1.252</v>
      </c>
      <c r="H33" s="15">
        <v>2.2027999999999999</v>
      </c>
      <c r="I33" s="15">
        <v>1.1745000000000001</v>
      </c>
      <c r="J33" s="15">
        <v>1.2115</v>
      </c>
      <c r="K33" s="15">
        <v>1.3793</v>
      </c>
      <c r="L33" s="15">
        <v>1.0370999999999999</v>
      </c>
      <c r="M33" s="21"/>
    </row>
    <row r="34" spans="2:13" x14ac:dyDescent="0.2">
      <c r="B34" s="13">
        <v>23</v>
      </c>
      <c r="C34" s="14" t="s">
        <v>358</v>
      </c>
      <c r="D34" s="15">
        <v>1.0495000000000001</v>
      </c>
      <c r="E34" s="15">
        <v>1.0077</v>
      </c>
      <c r="F34" s="15">
        <v>1</v>
      </c>
      <c r="G34" s="15">
        <v>0.89170000000000005</v>
      </c>
      <c r="H34" s="15">
        <v>1.2181999999999999</v>
      </c>
      <c r="I34" s="15">
        <v>0.99050000000000005</v>
      </c>
      <c r="J34" s="15">
        <v>1.1989000000000001</v>
      </c>
      <c r="K34" s="15">
        <v>1.2138</v>
      </c>
      <c r="L34" s="15">
        <v>0.82430000000000003</v>
      </c>
      <c r="M34" s="21"/>
    </row>
    <row r="35" spans="2:13" x14ac:dyDescent="0.2">
      <c r="B35" s="13">
        <v>24</v>
      </c>
      <c r="C35" s="14" t="s">
        <v>359</v>
      </c>
      <c r="D35" s="15">
        <v>1.0156000000000001</v>
      </c>
      <c r="E35" s="15">
        <v>1.1004</v>
      </c>
      <c r="F35" s="15">
        <v>1.0994999999999999</v>
      </c>
      <c r="G35" s="15">
        <v>1.1719999999999999</v>
      </c>
      <c r="H35" s="15">
        <v>1.5444</v>
      </c>
      <c r="I35" s="15">
        <v>1.3224</v>
      </c>
      <c r="J35" s="15">
        <v>1.3721000000000001</v>
      </c>
      <c r="K35" s="15">
        <v>1.4755</v>
      </c>
      <c r="L35" s="15">
        <v>0.75939999999999996</v>
      </c>
      <c r="M35" s="21"/>
    </row>
    <row r="36" spans="2:13" x14ac:dyDescent="0.2">
      <c r="B36" s="13">
        <v>25</v>
      </c>
      <c r="C36" s="14" t="s">
        <v>360</v>
      </c>
      <c r="D36" s="15">
        <v>0.996</v>
      </c>
      <c r="E36" s="15">
        <v>1.1528</v>
      </c>
      <c r="F36" s="15">
        <v>1.2696000000000001</v>
      </c>
      <c r="G36" s="15">
        <v>1.0414000000000001</v>
      </c>
      <c r="H36" s="15">
        <v>1.3895999999999999</v>
      </c>
      <c r="I36" s="15">
        <v>1.5214000000000001</v>
      </c>
      <c r="J36" s="15">
        <v>1.3502000000000001</v>
      </c>
      <c r="K36" s="15">
        <v>1.3170999999999999</v>
      </c>
      <c r="L36" s="15">
        <v>0.82079999999999997</v>
      </c>
      <c r="M36" s="21"/>
    </row>
    <row r="37" spans="2:13" x14ac:dyDescent="0.2">
      <c r="B37" s="13">
        <v>26</v>
      </c>
      <c r="C37" s="14" t="s">
        <v>361</v>
      </c>
      <c r="D37" s="15">
        <v>1.083</v>
      </c>
      <c r="E37" s="15">
        <v>1.0865</v>
      </c>
      <c r="F37" s="15">
        <v>1.2223999999999999</v>
      </c>
      <c r="G37" s="15">
        <v>1.1220000000000001</v>
      </c>
      <c r="H37" s="15">
        <v>1.6172</v>
      </c>
      <c r="I37" s="15">
        <v>1.4686999999999999</v>
      </c>
      <c r="J37" s="15">
        <v>1.3803000000000001</v>
      </c>
      <c r="K37" s="15">
        <v>1.3486</v>
      </c>
      <c r="L37" s="15">
        <v>1.0042</v>
      </c>
      <c r="M37" s="21"/>
    </row>
    <row r="38" spans="2:13" x14ac:dyDescent="0.2">
      <c r="B38" s="13">
        <v>27</v>
      </c>
      <c r="C38" s="14" t="s">
        <v>362</v>
      </c>
      <c r="D38" s="15">
        <v>1.0813999999999999</v>
      </c>
      <c r="E38" s="15">
        <v>1.4137</v>
      </c>
      <c r="F38" s="15">
        <v>1.0965</v>
      </c>
      <c r="G38" s="15">
        <v>1.2068000000000001</v>
      </c>
      <c r="H38" s="15">
        <v>1.5887</v>
      </c>
      <c r="I38" s="15">
        <v>1.2836000000000001</v>
      </c>
      <c r="J38" s="15">
        <v>1.4238</v>
      </c>
      <c r="K38" s="15">
        <v>1.1404000000000001</v>
      </c>
      <c r="L38" s="15">
        <v>0.91</v>
      </c>
      <c r="M38" s="21"/>
    </row>
    <row r="39" spans="2:13" x14ac:dyDescent="0.2">
      <c r="B39" s="13">
        <v>28</v>
      </c>
      <c r="C39" s="14" t="s">
        <v>363</v>
      </c>
      <c r="D39" s="15">
        <v>1.1153</v>
      </c>
      <c r="E39" s="15">
        <v>1.3682000000000001</v>
      </c>
      <c r="F39" s="15">
        <v>1.2282</v>
      </c>
      <c r="G39" s="15">
        <v>1.3619000000000001</v>
      </c>
      <c r="H39" s="15">
        <v>2.3683999999999998</v>
      </c>
      <c r="I39" s="15">
        <v>1.1889000000000001</v>
      </c>
      <c r="J39" s="15">
        <v>1.5311999999999999</v>
      </c>
      <c r="K39" s="15">
        <v>1.3282</v>
      </c>
      <c r="L39" s="15">
        <v>0.85670000000000002</v>
      </c>
      <c r="M39" s="21"/>
    </row>
    <row r="40" spans="2:13" x14ac:dyDescent="0.2">
      <c r="B40" s="13">
        <v>29</v>
      </c>
      <c r="C40" s="14" t="s">
        <v>364</v>
      </c>
      <c r="D40" s="15">
        <v>0.93889999999999996</v>
      </c>
      <c r="E40" s="15">
        <v>0.85940000000000005</v>
      </c>
      <c r="F40" s="15">
        <v>1.095</v>
      </c>
      <c r="G40" s="15">
        <v>1.0620000000000001</v>
      </c>
      <c r="H40" s="15">
        <v>1.1472</v>
      </c>
      <c r="I40" s="15">
        <v>1.2361</v>
      </c>
      <c r="J40" s="15">
        <v>1.2014</v>
      </c>
      <c r="K40" s="15">
        <v>1.0419</v>
      </c>
      <c r="L40" s="15">
        <v>0.74470000000000003</v>
      </c>
      <c r="M40" s="21"/>
    </row>
    <row r="41" spans="2:13" x14ac:dyDescent="0.2">
      <c r="B41" s="13">
        <v>30</v>
      </c>
      <c r="C41" s="14" t="s">
        <v>365</v>
      </c>
      <c r="D41" s="15">
        <v>1.1152</v>
      </c>
      <c r="E41" s="15">
        <v>1.1013999999999999</v>
      </c>
      <c r="F41" s="15">
        <v>1.1752</v>
      </c>
      <c r="G41" s="15">
        <v>1.1293</v>
      </c>
      <c r="H41" s="15">
        <v>1.6086</v>
      </c>
      <c r="I41" s="15">
        <v>1.3571</v>
      </c>
      <c r="J41" s="15">
        <v>1.3619000000000001</v>
      </c>
      <c r="K41" s="15">
        <v>1.2145999999999999</v>
      </c>
      <c r="L41" s="15">
        <v>1.1587000000000001</v>
      </c>
      <c r="M41" s="21"/>
    </row>
    <row r="42" spans="2:13" x14ac:dyDescent="0.2">
      <c r="B42" s="13">
        <v>31</v>
      </c>
      <c r="C42" s="14" t="s">
        <v>366</v>
      </c>
      <c r="D42" s="15">
        <v>0.92920000000000003</v>
      </c>
      <c r="E42" s="15">
        <v>0.74450000000000005</v>
      </c>
      <c r="F42" s="15">
        <v>0.93830000000000002</v>
      </c>
      <c r="G42" s="15">
        <v>0.96419999999999995</v>
      </c>
      <c r="H42" s="15">
        <v>1.0827</v>
      </c>
      <c r="I42" s="15">
        <v>1.1557999999999999</v>
      </c>
      <c r="J42" s="15">
        <v>1.1409</v>
      </c>
      <c r="K42" s="15">
        <v>1.2858000000000001</v>
      </c>
      <c r="L42" s="15">
        <v>0.86439999999999995</v>
      </c>
      <c r="M42" s="21"/>
    </row>
    <row r="43" spans="2:13" ht="12.75" customHeight="1" x14ac:dyDescent="0.2">
      <c r="B43" s="13">
        <v>32</v>
      </c>
      <c r="C43" s="14" t="s">
        <v>367</v>
      </c>
      <c r="D43" s="15">
        <v>1.2504</v>
      </c>
      <c r="E43" s="15">
        <v>1.2251000000000001</v>
      </c>
      <c r="F43" s="15">
        <v>1.3073999999999999</v>
      </c>
      <c r="G43" s="15">
        <v>1.268</v>
      </c>
      <c r="H43" s="15">
        <v>1.7556</v>
      </c>
      <c r="I43" s="15">
        <v>1.5042</v>
      </c>
      <c r="J43" s="15">
        <v>1.6601999999999999</v>
      </c>
      <c r="K43" s="15">
        <v>1.4944999999999999</v>
      </c>
      <c r="L43" s="15">
        <v>0.96</v>
      </c>
      <c r="M43" s="21"/>
    </row>
    <row r="44" spans="2:13" ht="12.75" customHeight="1" x14ac:dyDescent="0.2">
      <c r="B44" s="13">
        <v>33</v>
      </c>
      <c r="C44" s="14" t="s">
        <v>368</v>
      </c>
      <c r="D44" s="15">
        <v>0.84850000000000003</v>
      </c>
      <c r="E44" s="15">
        <v>1.4006000000000001</v>
      </c>
      <c r="F44" s="15">
        <v>1.2646999999999999</v>
      </c>
      <c r="G44" s="15">
        <v>1.004</v>
      </c>
      <c r="H44" s="15">
        <v>1.7075</v>
      </c>
      <c r="I44" s="15">
        <v>1.7629999999999999</v>
      </c>
      <c r="J44" s="15">
        <v>1.0074000000000001</v>
      </c>
      <c r="K44" s="15">
        <v>1.9773000000000001</v>
      </c>
      <c r="L44" s="15">
        <v>0.7046</v>
      </c>
      <c r="M44" s="21"/>
    </row>
  </sheetData>
  <mergeCells count="5">
    <mergeCell ref="B10:L10"/>
    <mergeCell ref="B2:E2"/>
    <mergeCell ref="B8:B9"/>
    <mergeCell ref="C8:C9"/>
    <mergeCell ref="D8:L8"/>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13</vt:i4>
      </vt:variant>
    </vt:vector>
  </HeadingPairs>
  <TitlesOfParts>
    <vt:vector size="24" baseType="lpstr">
      <vt:lpstr>COVER</vt:lpstr>
      <vt:lpstr>PETUNJUK</vt:lpstr>
      <vt:lpstr>BASELINE</vt:lpstr>
      <vt:lpstr>SUSENAS</vt:lpstr>
      <vt:lpstr>POLA KONSUMSI</vt:lpstr>
      <vt:lpstr>KECUKUPAN GIZI</vt:lpstr>
      <vt:lpstr>SKOR PPH</vt:lpstr>
      <vt:lpstr>SASARAN PPH</vt:lpstr>
      <vt:lpstr>PROYEKSI KONSUMSI</vt:lpstr>
      <vt:lpstr>KEBUTUHAN PANGAN</vt:lpstr>
      <vt:lpstr>FAKTOR KOREKSI</vt:lpstr>
      <vt:lpstr>BASELINE!Print_Area</vt:lpstr>
      <vt:lpstr>'KEBUTUHAN PANGAN'!Print_Area</vt:lpstr>
      <vt:lpstr>'KECUKUPAN GIZI'!Print_Area</vt:lpstr>
      <vt:lpstr>PETUNJUK!Print_Area</vt:lpstr>
      <vt:lpstr>'POLA KONSUMSI'!Print_Area</vt:lpstr>
      <vt:lpstr>'PROYEKSI KONSUMSI'!Print_Area</vt:lpstr>
      <vt:lpstr>'SASARAN PPH'!Print_Area</vt:lpstr>
      <vt:lpstr>'SKOR PPH'!Print_Area</vt:lpstr>
      <vt:lpstr>SUSENAS!Print_Area</vt:lpstr>
      <vt:lpstr>'KEBUTUHAN PANGAN'!Print_Titles</vt:lpstr>
      <vt:lpstr>'POLA KONSUMSI'!Print_Titles</vt:lpstr>
      <vt:lpstr>'PROYEKSI KONSUMSI'!Print_Titles</vt:lpstr>
      <vt:lpstr>'SASARAN PPH'!Print_Titles</vt:lpstr>
    </vt:vector>
  </TitlesOfParts>
  <Company>Kent Power Dinamika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dc:creator>
  <cp:lastModifiedBy>PTI</cp:lastModifiedBy>
  <cp:lastPrinted>2014-06-18T20:24:57Z</cp:lastPrinted>
  <dcterms:created xsi:type="dcterms:W3CDTF">2004-07-16T13:01:09Z</dcterms:created>
  <dcterms:modified xsi:type="dcterms:W3CDTF">2016-07-26T07:10:19Z</dcterms:modified>
</cp:coreProperties>
</file>